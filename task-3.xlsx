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Namrata\Desktop\Internship task\Excel\"/>
    </mc:Choice>
  </mc:AlternateContent>
  <xr:revisionPtr revIDLastSave="0" documentId="13_ncr:1_{EE314B38-7091-48DA-8100-720C836570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-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9" i="1" l="1"/>
  <c r="K39" i="1"/>
  <c r="L35" i="1"/>
  <c r="K35" i="1"/>
  <c r="L31" i="1"/>
  <c r="L30" i="1"/>
  <c r="L29" i="1"/>
  <c r="L28" i="1"/>
  <c r="L27" i="1"/>
  <c r="L26" i="1"/>
  <c r="L22" i="1"/>
  <c r="L21" i="1"/>
  <c r="L20" i="1"/>
  <c r="L19" i="1"/>
  <c r="L18" i="1"/>
  <c r="L17" i="1"/>
  <c r="L12" i="1"/>
  <c r="L11" i="1"/>
  <c r="L10" i="1"/>
  <c r="L9" i="1"/>
</calcChain>
</file>

<file path=xl/sharedStrings.xml><?xml version="1.0" encoding="utf-8"?>
<sst xmlns="http://schemas.openxmlformats.org/spreadsheetml/2006/main" count="231" uniqueCount="126">
  <si>
    <t>Salary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</si>
  <si>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</si>
  <si>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</si>
  <si>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</si>
  <si>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</si>
  <si>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</si>
  <si>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</si>
  <si>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</si>
  <si>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</si>
  <si>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</si>
  <si>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</si>
  <si>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</si>
  <si>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</si>
  <si>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</si>
  <si>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</si>
  <si>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</si>
  <si>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</si>
  <si>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</si>
  <si>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</si>
  <si>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</si>
  <si>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</si>
  <si>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</si>
  <si>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</si>
  <si>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</si>
  <si>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</si>
  <si>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</si>
  <si>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</si>
  <si>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</si>
  <si>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</si>
  <si>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</si>
  <si>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</si>
  <si>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</si>
  <si>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</si>
  <si>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</si>
  <si>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</si>
  <si>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</si>
  <si>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Requirement</t>
  </si>
  <si>
    <t>Highest Salary</t>
  </si>
  <si>
    <t>Lowest Salary</t>
  </si>
  <si>
    <t>Average Salary</t>
  </si>
  <si>
    <t>Total Employee</t>
  </si>
  <si>
    <t>Total Employees</t>
  </si>
  <si>
    <t>Employee_ID</t>
  </si>
  <si>
    <t>Name</t>
  </si>
  <si>
    <t>Merle Ingram</t>
  </si>
  <si>
    <t>John Mayes</t>
  </si>
  <si>
    <t>Carlos Wille</t>
  </si>
  <si>
    <t>Michael Bryant</t>
  </si>
  <si>
    <t>Paula Douglas</t>
  </si>
  <si>
    <t>Michael Irving</t>
  </si>
  <si>
    <t>Marcelle Campbell</t>
  </si>
  <si>
    <t>Glenda Leal</t>
  </si>
  <si>
    <t>Walter Williams</t>
  </si>
  <si>
    <t>Vanessa Songer</t>
  </si>
  <si>
    <t>Caitlin Mayhugh</t>
  </si>
  <si>
    <t>Peter Paris</t>
  </si>
  <si>
    <t>Lionel Elsea</t>
  </si>
  <si>
    <t>Alice Elvin</t>
  </si>
  <si>
    <t>Carolyn Bell</t>
  </si>
  <si>
    <t>Robert Stewart</t>
  </si>
  <si>
    <t>Josefina Johnson</t>
  </si>
  <si>
    <t>Mary Abraham</t>
  </si>
  <si>
    <t>Charles Williams</t>
  </si>
  <si>
    <t>Michael Mccombs</t>
  </si>
  <si>
    <t>Janeen Crume</t>
  </si>
  <si>
    <t>Delores Parrish</t>
  </si>
  <si>
    <t>Jim Blue</t>
  </si>
  <si>
    <t>Anthony Galvan</t>
  </si>
  <si>
    <t>Gregory Watts</t>
  </si>
  <si>
    <t>Susan Kim</t>
  </si>
  <si>
    <t>Virginia Jean</t>
  </si>
  <si>
    <t>Latosha Steiner</t>
  </si>
  <si>
    <t>Nathanael Nielsen</t>
  </si>
  <si>
    <t>Ricky Tizon</t>
  </si>
  <si>
    <t>Doris Ardon</t>
  </si>
  <si>
    <t>Elaine Pryor</t>
  </si>
  <si>
    <t>Craig Nelson</t>
  </si>
  <si>
    <t>Estella Bynum</t>
  </si>
  <si>
    <t>William Atherton</t>
  </si>
  <si>
    <t>Joseph Brown</t>
  </si>
  <si>
    <t>Eric Brund</t>
  </si>
  <si>
    <t>Deon Kidd</t>
  </si>
  <si>
    <t>Lisa Morris</t>
  </si>
  <si>
    <t>Jay Anderson</t>
  </si>
  <si>
    <t>Lindsey Davila</t>
  </si>
  <si>
    <t>Robert Boynton</t>
  </si>
  <si>
    <t>Gregory Stumpff</t>
  </si>
  <si>
    <t>Carol Waugh</t>
  </si>
  <si>
    <t>John Bain</t>
  </si>
  <si>
    <t>Christopher Harris</t>
  </si>
  <si>
    <t>Carla Ranieri</t>
  </si>
  <si>
    <t>Nathan Gonzalez</t>
  </si>
  <si>
    <t>Betty Sellner</t>
  </si>
  <si>
    <t>Maria Isch</t>
  </si>
  <si>
    <t>Department</t>
  </si>
  <si>
    <t>Engineering</t>
  </si>
  <si>
    <t>Sales</t>
  </si>
  <si>
    <t>Finance</t>
  </si>
  <si>
    <t>HR</t>
  </si>
  <si>
    <t>Marketing</t>
  </si>
  <si>
    <t>Product</t>
  </si>
  <si>
    <t>Job_Title</t>
  </si>
  <si>
    <t>Engineer</t>
  </si>
  <si>
    <t>Executive</t>
  </si>
  <si>
    <t>Intern</t>
  </si>
  <si>
    <t>Analyst</t>
  </si>
  <si>
    <t>Manager</t>
  </si>
  <si>
    <t xml:space="preserve">Total 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</si>
  <si>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</si>
  <si>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</si>
  <si>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</si>
  <si>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</si>
  <si>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</si>
  <si>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</si>
  <si>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</si>
  <si>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</si>
  <si>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</si>
  <si>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</si>
  <si>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</si>
  <si>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</si>
  <si>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</si>
  <si>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</si>
  <si>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</si>
  <si>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Departmrnt</t>
  </si>
  <si>
    <t>Emproyee Name</t>
  </si>
  <si>
    <t>Employee Nme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</si>
</sst>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B3F36E-E609-408A-A3F4-2E219915675C}" name="Table1" displayName="Table1" ref="A3:E53" totalsRowShown="0">
  <tableColumns count="5">
    <tableColumn id="1" xr3:uid="{ED925CB1-70C4-4D30-AF22-F1E24AE095B3}" name="Employee_ID"/>
    <tableColumn id="2" xr3:uid="{37EE8E93-C0BD-42E2-A12A-0A17073D8A44}" name="Name"/>
    <tableColumn id="3" xr3:uid="{A3CC5B38-EB1B-4ADC-A343-9B24FB6E80DC}" name="Department"/>
    <tableColumn id="4" xr3:uid="{71ABE856-0807-422B-8EE8-D329E7B26F33}" name="Job_Title"/>
    <tableColumn id="5" xr3:uid="{C402D832-FEFF-4B02-9D8D-E0464628D2DA}" name="Salary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4B7103-EC6D-4244-A702-B40B133A9D3B}" name="Table2" displayName="Table2" ref="K8:L12" totalsRowShown="0">
  <tableColumns count="2">
    <tableColumn id="1" xr3:uid="{31162E91-F2B1-49AD-9BE1-73C8EF0F34CA}" name="Requirement"/>
    <tableColumn id="2" xr3:uid="{1928C299-CB84-49C4-8E4E-2462EF7E03BE}" name="Total " dataDxfId="2">
      <calculatedColumnFormula>MAX(E4:E53)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A08658-DC23-4EA1-8A04-EB01D60BB1B6}" name="Table3" displayName="Table3" ref="K16:L22" totalsRowShown="0">
  <tableColumns count="2">
    <tableColumn id="1" xr3:uid="{072EEB36-8473-4BAE-AC04-FA4B8861E54A}" name="Department"/>
    <tableColumn id="2" xr3:uid="{1BDB1CCC-05DE-4354-8820-B5915544D027}" name="Total Employee" dataDxfId="1">
      <calculatedColumnFormula>COUNTIF(C4:C53,"Engineering")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9A261D-731E-4B73-9066-5B2378D37ACC}" name="Table4" displayName="Table4" ref="K25:L31" totalsRowShown="0">
  <tableColumns count="2">
    <tableColumn id="1" xr3:uid="{FE99ECD4-A13F-465D-8A2D-BBBDDB432CEC}" name="Departmrnt"/>
    <tableColumn id="2" xr3:uid="{5AC388F3-BF98-4E9D-9638-5E6D5CEBC773}" name="Average Salary" dataDxfId="0">
      <calculatedColumnFormula>AVERAGEIF(C4:C53,"Engineering",E4:E53)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6AB55C-7E0D-4694-9B9F-BF2115868255}" name="Table5" displayName="Table5" ref="K34:L35" totalsRowShown="0">
  <tableColumns count="2">
    <tableColumn id="1" xr3:uid="{BB796AFF-431E-4772-833F-B08444633E9F}" name="Emproyee Name">
      <calculatedColumnFormula>_xlfn.XLOOKUP(MAX(E4:E53),E4:E53,B4:B53)</calculatedColumnFormula>
    </tableColumn>
    <tableColumn id="2" xr3:uid="{ECA5E656-299D-41A0-9D22-350D1DD11B28}" name="Highest Salary">
      <calculatedColumnFormula>MAX(E4:E53)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BB16E85-9436-4D6B-BDAB-05CD20963008}" name="Table6" displayName="Table6" ref="K38:L39" totalsRowShown="0">
  <tableColumns count="2">
    <tableColumn id="1" xr3:uid="{72477E7E-9DF2-4D60-8191-0DE14F6F7C01}" name="Employee Nme">
      <calculatedColumnFormula>_xlfn.XLOOKUP(MIN(E4:E53),E4:E53,B4:B53)</calculatedColumnFormula>
    </tableColumn>
    <tableColumn id="2" xr3:uid="{3B0EF08B-CC5A-4A3E-BD2E-FFD42417DEA8}" name="Lowest Salary">
      <calculatedColumnFormula>MIN(E4:E53)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53"/>
  <sheetViews>
    <sheetView tabSelected="1" topLeftCell="A8" zoomScale="70" workbookViewId="0">
      <selection activeCell="G29" sqref="G29"/>
    </sheetView>
  </sheetViews>
  <sheetFormatPr defaultRowHeight="14.4" x14ac:dyDescent="0.3"/>
  <cols>
    <col min="1" max="1" width="17.6640625" customWidth="1"/>
    <col min="2" max="2" width="20.44140625" customWidth="1"/>
    <col min="3" max="3" width="19.5546875" customWidth="1"/>
    <col min="4" max="4" width="13.21875" customWidth="1"/>
    <col min="5" max="5" width="12.5546875" customWidth="1"/>
    <col min="11" max="11" width="20.6640625" customWidth="1"/>
    <col min="12" max="12" width="15.77734375" customWidth="1"/>
    <col min="13" max="13" width="10.21875" customWidth="1"/>
    <col min="15" max="15" width="8.88671875" customWidth="1"/>
  </cols>
  <sheetData>
    <row r="3" spans="1:12" x14ac:dyDescent="0.3">
      <c r="A3" t="s">
        <v>42</v>
      </c>
      <c r="B3" t="s">
        <v>43</v>
      </c>
      <c r="C3" t="s">
        <v>94</v>
      </c>
      <c r="D3" t="s">
        <v>101</v>
      </c>
      <c r="E3" t="s">
        <v>0</v>
      </c>
    </row>
    <row r="4" spans="1:12" x14ac:dyDescent="0.3">
      <c r="A4" t="s">
        <v>1</v>
      </c>
      <c r="B4" t="s">
        <v>44</v>
      </c>
      <c r="C4" t="s">
        <v>95</v>
      </c>
      <c r="D4" t="s">
        <v>102</v>
      </c>
      <c r="E4">
        <v>90000</v>
      </c>
    </row>
    <row r="5" spans="1:12" x14ac:dyDescent="0.3">
      <c r="A5" t="s">
        <v>2</v>
      </c>
      <c r="B5" t="s">
        <v>45</v>
      </c>
      <c r="C5" t="s">
        <v>96</v>
      </c>
      <c r="D5" t="s">
        <v>103</v>
      </c>
      <c r="E5">
        <v>195000</v>
      </c>
    </row>
    <row r="6" spans="1:12" x14ac:dyDescent="0.3">
      <c r="A6" t="s">
        <v>3</v>
      </c>
      <c r="B6" t="s">
        <v>46</v>
      </c>
      <c r="C6" t="s">
        <v>95</v>
      </c>
      <c r="D6" t="s">
        <v>104</v>
      </c>
      <c r="E6">
        <v>35000</v>
      </c>
    </row>
    <row r="7" spans="1:12" x14ac:dyDescent="0.3">
      <c r="A7" t="s">
        <v>4</v>
      </c>
      <c r="B7" t="s">
        <v>47</v>
      </c>
      <c r="C7" t="s">
        <v>97</v>
      </c>
      <c r="D7" t="s">
        <v>105</v>
      </c>
      <c r="E7">
        <v>75000</v>
      </c>
    </row>
    <row r="8" spans="1:12" x14ac:dyDescent="0.3">
      <c r="A8" t="s">
        <v>5</v>
      </c>
      <c r="B8" t="s">
        <v>48</v>
      </c>
      <c r="C8" t="s">
        <v>98</v>
      </c>
      <c r="D8" t="s">
        <v>105</v>
      </c>
      <c r="E8">
        <v>70000</v>
      </c>
      <c r="K8" t="s">
        <v>36</v>
      </c>
      <c r="L8" t="s">
        <v>107</v>
      </c>
    </row>
    <row r="9" spans="1:12" x14ac:dyDescent="0.3">
      <c r="A9" t="s">
        <v>6</v>
      </c>
      <c r="B9" t="s">
        <v>49</v>
      </c>
      <c r="C9" t="s">
        <v>97</v>
      </c>
      <c r="D9" t="s">
        <v>106</v>
      </c>
      <c r="E9">
        <v>125000</v>
      </c>
      <c r="K9" t="s">
        <v>37</v>
      </c>
      <c r="L9">
        <f t="shared" ref="L9" si="0">MAX(E4:E53)</f>
        <v>205000</v>
      </c>
    </row>
    <row r="10" spans="1:12" x14ac:dyDescent="0.3">
      <c r="A10" t="s">
        <v>7</v>
      </c>
      <c r="B10" t="s">
        <v>50</v>
      </c>
      <c r="C10" t="s">
        <v>99</v>
      </c>
      <c r="D10" t="s">
        <v>105</v>
      </c>
      <c r="E10">
        <v>60000</v>
      </c>
      <c r="K10" t="s">
        <v>38</v>
      </c>
      <c r="L10">
        <f>MIN(E4:E53)</f>
        <v>35000</v>
      </c>
    </row>
    <row r="11" spans="1:12" x14ac:dyDescent="0.3">
      <c r="A11" t="s">
        <v>8</v>
      </c>
      <c r="B11" t="s">
        <v>51</v>
      </c>
      <c r="C11" t="s">
        <v>99</v>
      </c>
      <c r="D11" t="s">
        <v>106</v>
      </c>
      <c r="E11">
        <v>145000</v>
      </c>
      <c r="K11" t="s">
        <v>39</v>
      </c>
      <c r="L11">
        <f>AVERAGE(E4:E53)</f>
        <v>125100</v>
      </c>
    </row>
    <row r="12" spans="1:12" x14ac:dyDescent="0.3">
      <c r="A12" t="s">
        <v>9</v>
      </c>
      <c r="B12" t="s">
        <v>52</v>
      </c>
      <c r="C12" t="s">
        <v>99</v>
      </c>
      <c r="D12" t="s">
        <v>106</v>
      </c>
      <c r="E12">
        <v>135000</v>
      </c>
      <c r="K12" t="s">
        <v>41</v>
      </c>
      <c r="L12">
        <f>COUNTA(A4:A53)</f>
        <v>50</v>
      </c>
    </row>
    <row r="13" spans="1:12" x14ac:dyDescent="0.3">
      <c r="A13" t="s">
        <v>10</v>
      </c>
      <c r="B13" t="s">
        <v>53</v>
      </c>
      <c r="C13" t="s">
        <v>99</v>
      </c>
      <c r="D13" t="s">
        <v>105</v>
      </c>
      <c r="E13">
        <v>70000</v>
      </c>
    </row>
    <row r="14" spans="1:12" x14ac:dyDescent="0.3">
      <c r="A14" t="s">
        <v>11</v>
      </c>
      <c r="B14" t="s">
        <v>54</v>
      </c>
      <c r="C14" t="s">
        <v>100</v>
      </c>
      <c r="D14" t="s">
        <v>102</v>
      </c>
      <c r="E14">
        <v>90000</v>
      </c>
    </row>
    <row r="15" spans="1:12" x14ac:dyDescent="0.3">
      <c r="A15" t="s">
        <v>12</v>
      </c>
      <c r="B15" t="s">
        <v>55</v>
      </c>
      <c r="C15" t="s">
        <v>100</v>
      </c>
      <c r="D15" t="s">
        <v>102</v>
      </c>
      <c r="E15">
        <v>80000</v>
      </c>
    </row>
    <row r="16" spans="1:12" x14ac:dyDescent="0.3">
      <c r="A16" t="s">
        <v>13</v>
      </c>
      <c r="B16" t="s">
        <v>56</v>
      </c>
      <c r="C16" t="s">
        <v>100</v>
      </c>
      <c r="D16" t="s">
        <v>106</v>
      </c>
      <c r="E16">
        <v>150000</v>
      </c>
      <c r="K16" t="s">
        <v>94</v>
      </c>
      <c r="L16" t="s">
        <v>40</v>
      </c>
    </row>
    <row r="17" spans="1:12" x14ac:dyDescent="0.3">
      <c r="A17" t="s">
        <v>14</v>
      </c>
      <c r="B17" t="s">
        <v>57</v>
      </c>
      <c r="C17" t="s">
        <v>96</v>
      </c>
      <c r="D17" t="s">
        <v>103</v>
      </c>
      <c r="E17">
        <v>175000</v>
      </c>
      <c r="K17" t="s">
        <v>95</v>
      </c>
      <c r="L17">
        <f t="shared" ref="L17" si="1">COUNTIF(C4:C53,"Engineering")</f>
        <v>7</v>
      </c>
    </row>
    <row r="18" spans="1:12" x14ac:dyDescent="0.3">
      <c r="A18" t="s">
        <v>15</v>
      </c>
      <c r="B18" t="s">
        <v>58</v>
      </c>
      <c r="C18" t="s">
        <v>98</v>
      </c>
      <c r="D18" t="s">
        <v>103</v>
      </c>
      <c r="E18">
        <v>205000</v>
      </c>
      <c r="K18" t="s">
        <v>96</v>
      </c>
      <c r="L18">
        <f>COUNTIF(C4:C53,"Sales")</f>
        <v>8</v>
      </c>
    </row>
    <row r="19" spans="1:12" x14ac:dyDescent="0.3">
      <c r="A19" t="s">
        <v>16</v>
      </c>
      <c r="B19" t="s">
        <v>59</v>
      </c>
      <c r="C19" t="s">
        <v>95</v>
      </c>
      <c r="D19" t="s">
        <v>106</v>
      </c>
      <c r="E19">
        <v>150000</v>
      </c>
      <c r="K19" t="s">
        <v>97</v>
      </c>
      <c r="L19">
        <f>COUNTIF(C4:C53,"Finance")</f>
        <v>6</v>
      </c>
    </row>
    <row r="20" spans="1:12" x14ac:dyDescent="0.3">
      <c r="A20" t="s">
        <v>17</v>
      </c>
      <c r="B20" t="s">
        <v>60</v>
      </c>
      <c r="C20" t="s">
        <v>97</v>
      </c>
      <c r="D20" t="s">
        <v>103</v>
      </c>
      <c r="E20">
        <v>195000</v>
      </c>
      <c r="K20" t="s">
        <v>98</v>
      </c>
      <c r="L20">
        <f>COUNTIF(C4:C53,"HR")</f>
        <v>8</v>
      </c>
    </row>
    <row r="21" spans="1:12" x14ac:dyDescent="0.3">
      <c r="A21" t="s">
        <v>18</v>
      </c>
      <c r="B21" t="s">
        <v>61</v>
      </c>
      <c r="C21" t="s">
        <v>98</v>
      </c>
      <c r="D21" t="s">
        <v>103</v>
      </c>
      <c r="E21">
        <v>175000</v>
      </c>
      <c r="K21" t="s">
        <v>99</v>
      </c>
      <c r="L21">
        <f>COUNTIF(C4:C53,"Marketing")</f>
        <v>10</v>
      </c>
    </row>
    <row r="22" spans="1:12" x14ac:dyDescent="0.3">
      <c r="A22" t="s">
        <v>19</v>
      </c>
      <c r="B22" t="s">
        <v>62</v>
      </c>
      <c r="C22" t="s">
        <v>97</v>
      </c>
      <c r="D22" t="s">
        <v>103</v>
      </c>
      <c r="E22">
        <v>190000</v>
      </c>
      <c r="K22" t="s">
        <v>100</v>
      </c>
      <c r="L22">
        <f>COUNTIF(C4:C53,"Product")</f>
        <v>11</v>
      </c>
    </row>
    <row r="23" spans="1:12" x14ac:dyDescent="0.3">
      <c r="A23" t="s">
        <v>20</v>
      </c>
      <c r="B23" t="s">
        <v>63</v>
      </c>
      <c r="C23" t="s">
        <v>99</v>
      </c>
      <c r="D23" t="s">
        <v>106</v>
      </c>
      <c r="E23">
        <v>150000</v>
      </c>
    </row>
    <row r="24" spans="1:12" x14ac:dyDescent="0.3">
      <c r="A24" t="s">
        <v>21</v>
      </c>
      <c r="B24" t="s">
        <v>64</v>
      </c>
      <c r="C24" t="s">
        <v>96</v>
      </c>
      <c r="D24" t="s">
        <v>103</v>
      </c>
      <c r="E24">
        <v>170000</v>
      </c>
    </row>
    <row r="25" spans="1:12" x14ac:dyDescent="0.3">
      <c r="A25" t="s">
        <v>22</v>
      </c>
      <c r="B25" t="s">
        <v>65</v>
      </c>
      <c r="C25" t="s">
        <v>98</v>
      </c>
      <c r="D25" t="s">
        <v>105</v>
      </c>
      <c r="E25">
        <v>70000</v>
      </c>
      <c r="K25" t="s">
        <v>123</v>
      </c>
      <c r="L25" t="s">
        <v>39</v>
      </c>
    </row>
    <row r="26" spans="1:12" x14ac:dyDescent="0.3">
      <c r="A26" t="s">
        <v>23</v>
      </c>
      <c r="B26" t="s">
        <v>66</v>
      </c>
      <c r="C26" t="s">
        <v>100</v>
      </c>
      <c r="D26" t="s">
        <v>102</v>
      </c>
      <c r="E26">
        <v>95000</v>
      </c>
      <c r="K26" t="s">
        <v>95</v>
      </c>
      <c r="L26">
        <f t="shared" ref="L26" si="2">AVERAGEIF(C4:C53,"Engineering",E4:E53)</f>
        <v>111428.57142857143</v>
      </c>
    </row>
    <row r="27" spans="1:12" x14ac:dyDescent="0.3">
      <c r="A27" t="s">
        <v>24</v>
      </c>
      <c r="B27" t="s">
        <v>67</v>
      </c>
      <c r="C27" t="s">
        <v>99</v>
      </c>
      <c r="D27" t="s">
        <v>106</v>
      </c>
      <c r="E27">
        <v>150000</v>
      </c>
      <c r="K27" t="s">
        <v>96</v>
      </c>
      <c r="L27">
        <f>AVERAGEIF(C4:C53,"Sales",E4:E53)</f>
        <v>156875</v>
      </c>
    </row>
    <row r="28" spans="1:12" x14ac:dyDescent="0.3">
      <c r="A28" t="s">
        <v>25</v>
      </c>
      <c r="B28" t="s">
        <v>68</v>
      </c>
      <c r="C28" t="s">
        <v>95</v>
      </c>
      <c r="D28" t="s">
        <v>102</v>
      </c>
      <c r="E28">
        <v>90000</v>
      </c>
      <c r="K28" t="s">
        <v>97</v>
      </c>
      <c r="L28">
        <f>AVERAGEIF(C4:C53,"Finance",E4:E53)</f>
        <v>120000</v>
      </c>
    </row>
    <row r="29" spans="1:12" x14ac:dyDescent="0.3">
      <c r="A29" t="s">
        <v>26</v>
      </c>
      <c r="B29" t="s">
        <v>69</v>
      </c>
      <c r="C29" t="s">
        <v>96</v>
      </c>
      <c r="D29" t="s">
        <v>105</v>
      </c>
      <c r="E29">
        <v>75000</v>
      </c>
      <c r="K29" t="s">
        <v>98</v>
      </c>
      <c r="L29">
        <f>AVERAGEIF(C4:C53,"HR",E4:E53)</f>
        <v>136875</v>
      </c>
    </row>
    <row r="30" spans="1:12" x14ac:dyDescent="0.3">
      <c r="A30" t="s">
        <v>27</v>
      </c>
      <c r="B30" t="s">
        <v>70</v>
      </c>
      <c r="C30" t="s">
        <v>96</v>
      </c>
      <c r="D30" t="s">
        <v>103</v>
      </c>
      <c r="E30">
        <v>190000</v>
      </c>
      <c r="K30" t="s">
        <v>99</v>
      </c>
      <c r="L30">
        <f>AVERAGEIF(C4:C53,"Marketing",E4:E53)</f>
        <v>118000</v>
      </c>
    </row>
    <row r="31" spans="1:12" x14ac:dyDescent="0.3">
      <c r="A31" t="s">
        <v>28</v>
      </c>
      <c r="B31" t="s">
        <v>71</v>
      </c>
      <c r="C31" t="s">
        <v>98</v>
      </c>
      <c r="D31" t="s">
        <v>103</v>
      </c>
      <c r="E31">
        <v>190000</v>
      </c>
      <c r="K31" t="s">
        <v>100</v>
      </c>
      <c r="L31">
        <f>AVERAGEIF(C4:C53,"Product",E4:E53)</f>
        <v>111363.63636363637</v>
      </c>
    </row>
    <row r="32" spans="1:12" x14ac:dyDescent="0.3">
      <c r="A32" t="s">
        <v>29</v>
      </c>
      <c r="B32" t="s">
        <v>72</v>
      </c>
      <c r="C32" t="s">
        <v>99</v>
      </c>
      <c r="D32" t="s">
        <v>105</v>
      </c>
      <c r="E32">
        <v>65000</v>
      </c>
    </row>
    <row r="33" spans="1:12" x14ac:dyDescent="0.3">
      <c r="A33" t="s">
        <v>30</v>
      </c>
      <c r="B33" t="s">
        <v>73</v>
      </c>
      <c r="C33" t="s">
        <v>99</v>
      </c>
      <c r="D33" t="s">
        <v>106</v>
      </c>
      <c r="E33">
        <v>130000</v>
      </c>
    </row>
    <row r="34" spans="1:12" x14ac:dyDescent="0.3">
      <c r="A34" t="s">
        <v>31</v>
      </c>
      <c r="B34" t="s">
        <v>74</v>
      </c>
      <c r="C34" t="s">
        <v>100</v>
      </c>
      <c r="D34" t="s">
        <v>106</v>
      </c>
      <c r="E34">
        <v>140000</v>
      </c>
      <c r="K34" t="s">
        <v>124</v>
      </c>
      <c r="L34" t="s">
        <v>37</v>
      </c>
    </row>
    <row r="35" spans="1:12" x14ac:dyDescent="0.3">
      <c r="A35" t="s">
        <v>32</v>
      </c>
      <c r="B35" t="s">
        <v>75</v>
      </c>
      <c r="C35" t="s">
        <v>97</v>
      </c>
      <c r="D35" t="s">
        <v>105</v>
      </c>
      <c r="E35">
        <v>65000</v>
      </c>
      <c r="K35" t="str">
        <f>_xlfn.XLOOKUP(MAX(E4:E53),E4:E53,B4:B53)</f>
        <v>Carolyn Bell</v>
      </c>
      <c r="L35">
        <f>MAX(E4:E53)</f>
        <v>205000</v>
      </c>
    </row>
    <row r="36" spans="1:12" x14ac:dyDescent="0.3">
      <c r="A36" t="s">
        <v>33</v>
      </c>
      <c r="B36" t="s">
        <v>76</v>
      </c>
      <c r="C36" t="s">
        <v>98</v>
      </c>
      <c r="D36" t="s">
        <v>103</v>
      </c>
      <c r="E36">
        <v>180000</v>
      </c>
    </row>
    <row r="37" spans="1:12" x14ac:dyDescent="0.3">
      <c r="A37" t="s">
        <v>34</v>
      </c>
      <c r="B37" t="s">
        <v>77</v>
      </c>
      <c r="C37" t="s">
        <v>98</v>
      </c>
      <c r="D37" t="s">
        <v>105</v>
      </c>
      <c r="E37">
        <v>75000</v>
      </c>
    </row>
    <row r="38" spans="1:12" x14ac:dyDescent="0.3">
      <c r="A38" t="s">
        <v>35</v>
      </c>
      <c r="B38" t="s">
        <v>78</v>
      </c>
      <c r="C38" t="s">
        <v>99</v>
      </c>
      <c r="D38" t="s">
        <v>106</v>
      </c>
      <c r="E38">
        <v>135000</v>
      </c>
      <c r="K38" t="s">
        <v>125</v>
      </c>
      <c r="L38" t="s">
        <v>38</v>
      </c>
    </row>
    <row r="39" spans="1:12" x14ac:dyDescent="0.3">
      <c r="A39" t="s">
        <v>108</v>
      </c>
      <c r="B39" t="s">
        <v>79</v>
      </c>
      <c r="C39" t="s">
        <v>100</v>
      </c>
      <c r="D39" t="s">
        <v>102</v>
      </c>
      <c r="E39">
        <v>85000</v>
      </c>
      <c r="K39" t="str">
        <f>_xlfn.XLOOKUP(MIN(E4:E53),E4:E53,B4:B53)</f>
        <v>Carlos Wille</v>
      </c>
      <c r="L39">
        <f>MIN(E4:E53)</f>
        <v>35000</v>
      </c>
    </row>
    <row r="40" spans="1:12" x14ac:dyDescent="0.3">
      <c r="A40" t="s">
        <v>109</v>
      </c>
      <c r="B40" t="s">
        <v>80</v>
      </c>
      <c r="C40" t="s">
        <v>95</v>
      </c>
      <c r="D40" t="s">
        <v>106</v>
      </c>
      <c r="E40">
        <v>125000</v>
      </c>
    </row>
    <row r="41" spans="1:12" x14ac:dyDescent="0.3">
      <c r="A41" t="s">
        <v>110</v>
      </c>
      <c r="B41" t="s">
        <v>81</v>
      </c>
      <c r="C41" t="s">
        <v>100</v>
      </c>
      <c r="D41" t="s">
        <v>106</v>
      </c>
      <c r="E41">
        <v>120000</v>
      </c>
    </row>
    <row r="42" spans="1:12" x14ac:dyDescent="0.3">
      <c r="A42" t="s">
        <v>111</v>
      </c>
      <c r="B42" t="s">
        <v>82</v>
      </c>
      <c r="C42" t="s">
        <v>96</v>
      </c>
      <c r="D42" t="s">
        <v>105</v>
      </c>
      <c r="E42">
        <v>70000</v>
      </c>
    </row>
    <row r="43" spans="1:12" x14ac:dyDescent="0.3">
      <c r="A43" t="s">
        <v>112</v>
      </c>
      <c r="B43" t="s">
        <v>83</v>
      </c>
      <c r="C43" t="s">
        <v>97</v>
      </c>
      <c r="D43" t="s">
        <v>105</v>
      </c>
      <c r="E43">
        <v>70000</v>
      </c>
    </row>
    <row r="44" spans="1:12" x14ac:dyDescent="0.3">
      <c r="A44" t="s">
        <v>113</v>
      </c>
      <c r="B44" t="s">
        <v>84</v>
      </c>
      <c r="C44" t="s">
        <v>95</v>
      </c>
      <c r="D44" t="s">
        <v>106</v>
      </c>
      <c r="E44">
        <v>145000</v>
      </c>
    </row>
    <row r="45" spans="1:12" x14ac:dyDescent="0.3">
      <c r="A45" t="s">
        <v>114</v>
      </c>
      <c r="B45" t="s">
        <v>85</v>
      </c>
      <c r="C45" t="s">
        <v>100</v>
      </c>
      <c r="D45" t="s">
        <v>106</v>
      </c>
      <c r="E45">
        <v>125000</v>
      </c>
    </row>
    <row r="46" spans="1:12" x14ac:dyDescent="0.3">
      <c r="A46" t="s">
        <v>115</v>
      </c>
      <c r="B46" t="s">
        <v>86</v>
      </c>
      <c r="C46" t="s">
        <v>98</v>
      </c>
      <c r="D46" t="s">
        <v>106</v>
      </c>
      <c r="E46">
        <v>130000</v>
      </c>
    </row>
    <row r="47" spans="1:12" x14ac:dyDescent="0.3">
      <c r="A47" t="s">
        <v>116</v>
      </c>
      <c r="B47" t="s">
        <v>87</v>
      </c>
      <c r="C47" t="s">
        <v>95</v>
      </c>
      <c r="D47" t="s">
        <v>106</v>
      </c>
      <c r="E47">
        <v>145000</v>
      </c>
    </row>
    <row r="48" spans="1:12" x14ac:dyDescent="0.3">
      <c r="A48" t="s">
        <v>117</v>
      </c>
      <c r="B48" t="s">
        <v>88</v>
      </c>
      <c r="C48" t="s">
        <v>100</v>
      </c>
      <c r="D48" t="s">
        <v>102</v>
      </c>
      <c r="E48">
        <v>115000</v>
      </c>
    </row>
    <row r="49" spans="1:5" x14ac:dyDescent="0.3">
      <c r="A49" t="s">
        <v>118</v>
      </c>
      <c r="B49" t="s">
        <v>89</v>
      </c>
      <c r="C49" t="s">
        <v>100</v>
      </c>
      <c r="D49" t="s">
        <v>102</v>
      </c>
      <c r="E49">
        <v>90000</v>
      </c>
    </row>
    <row r="50" spans="1:5" x14ac:dyDescent="0.3">
      <c r="A50" t="s">
        <v>119</v>
      </c>
      <c r="B50" t="s">
        <v>90</v>
      </c>
      <c r="C50" t="s">
        <v>96</v>
      </c>
      <c r="D50" t="s">
        <v>103</v>
      </c>
      <c r="E50">
        <v>185000</v>
      </c>
    </row>
    <row r="51" spans="1:5" x14ac:dyDescent="0.3">
      <c r="A51" t="s">
        <v>120</v>
      </c>
      <c r="B51" t="s">
        <v>91</v>
      </c>
      <c r="C51" t="s">
        <v>99</v>
      </c>
      <c r="D51" t="s">
        <v>106</v>
      </c>
      <c r="E51">
        <v>140000</v>
      </c>
    </row>
    <row r="52" spans="1:5" x14ac:dyDescent="0.3">
      <c r="A52" t="s">
        <v>121</v>
      </c>
      <c r="B52" t="s">
        <v>92</v>
      </c>
      <c r="C52" t="s">
        <v>96</v>
      </c>
      <c r="D52" t="s">
        <v>103</v>
      </c>
      <c r="E52">
        <v>195000</v>
      </c>
    </row>
    <row r="53" spans="1:5" x14ac:dyDescent="0.3">
      <c r="A53" t="s">
        <v>122</v>
      </c>
      <c r="B53" t="s">
        <v>93</v>
      </c>
      <c r="C53" t="s">
        <v>100</v>
      </c>
      <c r="D53" t="s">
        <v>106</v>
      </c>
      <c r="E53">
        <v>135000</v>
      </c>
    </row>
  </sheetData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</dc:creator>
  <cp:lastModifiedBy>Namrata Tarapara</cp:lastModifiedBy>
  <dcterms:created xsi:type="dcterms:W3CDTF">2015-06-05T18:17:20Z</dcterms:created>
  <dcterms:modified xsi:type="dcterms:W3CDTF">2026-09-23T12:06:44Z</dcterms:modified>
</cp:coreProperties>
</file>