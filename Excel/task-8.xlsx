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amrata\Desktop\Internship task\Excel\"/>
    </mc:Choice>
  </mc:AlternateContent>
  <xr:revisionPtr revIDLastSave="0" documentId="13_ncr:1_{20279EA3-C1A6-4885-9A48-379CC25E22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externalReferences>
    <externalReference r:id="rId2"/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</calcChain>
</file>

<file path=xl/sharedStrings.xml><?xml version="1.0" encoding="utf-8"?>
<sst xmlns="http://schemas.openxmlformats.org/spreadsheetml/2006/main" count="101" uniqueCount="65">
  <si>
    <t>Order ID</t>
  </si>
  <si>
    <t>Customer ID</t>
  </si>
  <si>
    <t>Product ID</t>
  </si>
  <si>
    <t>Quantity</t>
  </si>
  <si>
    <t>O001</t>
  </si>
  <si>
    <t>C001</t>
  </si>
  <si>
    <t>P001</t>
  </si>
  <si>
    <t>O002</t>
  </si>
  <si>
    <t>C002</t>
  </si>
  <si>
    <t>P003</t>
  </si>
  <si>
    <t>O003</t>
  </si>
  <si>
    <t>C003</t>
  </si>
  <si>
    <t>P002</t>
  </si>
  <si>
    <t>O004</t>
  </si>
  <si>
    <t>C004</t>
  </si>
  <si>
    <t>P005</t>
  </si>
  <si>
    <t>O005</t>
  </si>
  <si>
    <t>C005</t>
  </si>
  <si>
    <t>P004</t>
  </si>
  <si>
    <t>O006</t>
  </si>
  <si>
    <t>C006</t>
  </si>
  <si>
    <t>O007</t>
  </si>
  <si>
    <t>P006</t>
  </si>
  <si>
    <t>O008</t>
  </si>
  <si>
    <t>C007</t>
  </si>
  <si>
    <t>O009</t>
  </si>
  <si>
    <t>C008</t>
  </si>
  <si>
    <t>P007</t>
  </si>
  <si>
    <t>O010</t>
  </si>
  <si>
    <t>O011</t>
  </si>
  <si>
    <t>C009</t>
  </si>
  <si>
    <t>O012</t>
  </si>
  <si>
    <t>C010</t>
  </si>
  <si>
    <t>P008</t>
  </si>
  <si>
    <t>O013</t>
  </si>
  <si>
    <t>O014</t>
  </si>
  <si>
    <t>C011</t>
  </si>
  <si>
    <t>O015</t>
  </si>
  <si>
    <t>C012</t>
  </si>
  <si>
    <t>P009</t>
  </si>
  <si>
    <t>O016</t>
  </si>
  <si>
    <t>O017</t>
  </si>
  <si>
    <t>O018</t>
  </si>
  <si>
    <t>P010</t>
  </si>
  <si>
    <t>O019</t>
  </si>
  <si>
    <t>C013</t>
  </si>
  <si>
    <t>O020</t>
  </si>
  <si>
    <t>C014</t>
  </si>
  <si>
    <t>O021</t>
  </si>
  <si>
    <t>O022</t>
  </si>
  <si>
    <t>O023</t>
  </si>
  <si>
    <t>O024</t>
  </si>
  <si>
    <t>O025</t>
  </si>
  <si>
    <t>O026</t>
  </si>
  <si>
    <t>O027</t>
  </si>
  <si>
    <t>O028</t>
  </si>
  <si>
    <t>O029</t>
  </si>
  <si>
    <t>O030</t>
  </si>
  <si>
    <t>Customer Name</t>
  </si>
  <si>
    <t>Product Name</t>
  </si>
  <si>
    <t>Category</t>
  </si>
  <si>
    <t>Unit Price</t>
  </si>
  <si>
    <t>Customer City</t>
  </si>
  <si>
    <t>Index-Match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</si>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</sst>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NumberFormat="1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amrata\Desktop\Internship%20task\Excel\orders.xlsx" TargetMode="External"/><Relationship Id="rId1" Type="http://schemas.openxmlformats.org/officeDocument/2006/relationships/externalLinkPath" Target="order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orde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oduct%20Master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Product Master"/>
    </sheetNames>
    <sheetDataSet>
      <sheetData sheetId="0">
        <row r="4">
          <cell r="A4" t="str">
            <v>Customer ID</v>
          </cell>
          <cell r="B4" t="str">
            <v>Customer Name</v>
          </cell>
          <cell r="C4" t="str">
            <v>City</v>
          </cell>
        </row>
        <row r="5">
          <cell r="A5" t="str">
            <v>C001</v>
          </cell>
          <cell r="B5" t="str">
            <v>Amit</v>
          </cell>
          <cell r="C5" t="str">
            <v>Rajkot</v>
          </cell>
        </row>
        <row r="6">
          <cell r="A6" t="str">
            <v>C002</v>
          </cell>
          <cell r="B6" t="str">
            <v>Priya</v>
          </cell>
          <cell r="C6" t="str">
            <v>Ahmedabad</v>
          </cell>
        </row>
        <row r="7">
          <cell r="A7" t="str">
            <v>C003</v>
          </cell>
          <cell r="B7" t="str">
            <v>Rahul</v>
          </cell>
          <cell r="C7" t="str">
            <v>Surat</v>
          </cell>
        </row>
        <row r="8">
          <cell r="A8" t="str">
            <v>C004</v>
          </cell>
          <cell r="B8" t="str">
            <v>Neha</v>
          </cell>
          <cell r="C8" t="str">
            <v>Vadodara</v>
          </cell>
        </row>
        <row r="9">
          <cell r="A9" t="str">
            <v>C005</v>
          </cell>
          <cell r="B9" t="str">
            <v>Karan</v>
          </cell>
          <cell r="C9" t="str">
            <v>Rajkot</v>
          </cell>
        </row>
        <row r="10">
          <cell r="A10" t="str">
            <v>C006</v>
          </cell>
          <cell r="B10" t="str">
            <v>Pooja</v>
          </cell>
          <cell r="C10" t="str">
            <v>Gandhinagar</v>
          </cell>
        </row>
        <row r="11">
          <cell r="A11" t="str">
            <v>C007</v>
          </cell>
          <cell r="B11" t="str">
            <v>Riya</v>
          </cell>
          <cell r="C11" t="str">
            <v>Jamnagar</v>
          </cell>
        </row>
        <row r="12">
          <cell r="A12" t="str">
            <v>C008</v>
          </cell>
          <cell r="B12" t="str">
            <v>Arjun</v>
          </cell>
          <cell r="C12" t="str">
            <v>Bhavnagar</v>
          </cell>
        </row>
        <row r="13">
          <cell r="A13" t="str">
            <v>C009</v>
          </cell>
          <cell r="B13" t="str">
            <v>Meera</v>
          </cell>
          <cell r="C13" t="str">
            <v>Surat</v>
          </cell>
        </row>
        <row r="14">
          <cell r="A14" t="str">
            <v>C010</v>
          </cell>
          <cell r="B14" t="str">
            <v>Vivek</v>
          </cell>
          <cell r="C14" t="str">
            <v>Vadodara</v>
          </cell>
        </row>
        <row r="15">
          <cell r="A15" t="str">
            <v>C011</v>
          </cell>
          <cell r="B15" t="str">
            <v>Anjali</v>
          </cell>
          <cell r="C15" t="str">
            <v>Rajkot</v>
          </cell>
        </row>
        <row r="16">
          <cell r="A16" t="str">
            <v>C012</v>
          </cell>
          <cell r="B16" t="str">
            <v>Nikhil</v>
          </cell>
          <cell r="C16" t="str">
            <v>Ahmedabad</v>
          </cell>
        </row>
        <row r="17">
          <cell r="A17" t="str">
            <v>C013</v>
          </cell>
          <cell r="B17" t="str">
            <v>Isha</v>
          </cell>
          <cell r="C17" t="str">
            <v>Gandhinagar</v>
          </cell>
        </row>
        <row r="18">
          <cell r="A18" t="str">
            <v>C014</v>
          </cell>
          <cell r="B18" t="str">
            <v>Manav</v>
          </cell>
          <cell r="C18" t="str">
            <v>Jamnagar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4">
          <cell r="A4" t="str">
            <v>Customer ID</v>
          </cell>
          <cell r="B4" t="str">
            <v>Customer Name</v>
          </cell>
        </row>
        <row r="5">
          <cell r="A5" t="str">
            <v>C001</v>
          </cell>
          <cell r="B5" t="str">
            <v>Amit</v>
          </cell>
        </row>
        <row r="6">
          <cell r="A6" t="str">
            <v>C002</v>
          </cell>
          <cell r="B6" t="str">
            <v>Priya</v>
          </cell>
        </row>
        <row r="7">
          <cell r="A7" t="str">
            <v>C003</v>
          </cell>
          <cell r="B7" t="str">
            <v>Rahul</v>
          </cell>
        </row>
        <row r="8">
          <cell r="A8" t="str">
            <v>C004</v>
          </cell>
          <cell r="B8" t="str">
            <v>Neha</v>
          </cell>
        </row>
        <row r="9">
          <cell r="A9" t="str">
            <v>C005</v>
          </cell>
          <cell r="B9" t="str">
            <v>Karan</v>
          </cell>
        </row>
        <row r="10">
          <cell r="A10" t="str">
            <v>C006</v>
          </cell>
          <cell r="B10" t="str">
            <v>Pooja</v>
          </cell>
        </row>
        <row r="11">
          <cell r="A11" t="str">
            <v>C007</v>
          </cell>
          <cell r="B11" t="str">
            <v>Riya</v>
          </cell>
        </row>
        <row r="12">
          <cell r="A12" t="str">
            <v>C008</v>
          </cell>
          <cell r="B12" t="str">
            <v>Arjun</v>
          </cell>
        </row>
        <row r="13">
          <cell r="A13" t="str">
            <v>C009</v>
          </cell>
          <cell r="B13" t="str">
            <v>Meera</v>
          </cell>
        </row>
        <row r="14">
          <cell r="A14" t="str">
            <v>C010</v>
          </cell>
          <cell r="B14" t="str">
            <v>Vivek</v>
          </cell>
        </row>
        <row r="15">
          <cell r="A15" t="str">
            <v>C011</v>
          </cell>
          <cell r="B15" t="str">
            <v>Anjali</v>
          </cell>
        </row>
        <row r="16">
          <cell r="A16" t="str">
            <v>C012</v>
          </cell>
          <cell r="B16" t="str">
            <v>Nikhil</v>
          </cell>
        </row>
        <row r="17">
          <cell r="A17" t="str">
            <v>C013</v>
          </cell>
          <cell r="B17" t="str">
            <v>Isha</v>
          </cell>
        </row>
        <row r="18">
          <cell r="A18" t="str">
            <v>C014</v>
          </cell>
          <cell r="B18" t="str">
            <v>Manav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Product Master"/>
    </sheetNames>
    <sheetDataSet>
      <sheetData sheetId="0"/>
      <sheetData sheetId="1">
        <row r="2">
          <cell r="A2"/>
        </row>
        <row r="4">
          <cell r="A4" t="str">
            <v>P001</v>
          </cell>
          <cell r="B4" t="str">
            <v>Wireless Mouse</v>
          </cell>
          <cell r="C4" t="str">
            <v>Technology</v>
          </cell>
          <cell r="D4">
            <v>850</v>
          </cell>
        </row>
        <row r="5">
          <cell r="A5" t="str">
            <v>P002</v>
          </cell>
          <cell r="B5" t="str">
            <v>Bluetooth Keyboard</v>
          </cell>
          <cell r="C5" t="str">
            <v>Technology</v>
          </cell>
          <cell r="D5">
            <v>1450</v>
          </cell>
        </row>
        <row r="6">
          <cell r="A6" t="str">
            <v>P003</v>
          </cell>
          <cell r="B6" t="str">
            <v>USB-C Hub</v>
          </cell>
          <cell r="C6" t="str">
            <v>Technology</v>
          </cell>
          <cell r="D6">
            <v>1250</v>
          </cell>
        </row>
        <row r="7">
          <cell r="A7" t="str">
            <v>P004</v>
          </cell>
          <cell r="B7" t="str">
            <v>Laptop Stand</v>
          </cell>
          <cell r="C7" t="str">
            <v>Furniture</v>
          </cell>
          <cell r="D7">
            <v>2100</v>
          </cell>
        </row>
        <row r="8">
          <cell r="A8" t="str">
            <v>P005</v>
          </cell>
          <cell r="B8" t="str">
            <v>Office Chair</v>
          </cell>
          <cell r="C8" t="str">
            <v>Furniture</v>
          </cell>
          <cell r="D8">
            <v>6500</v>
          </cell>
        </row>
        <row r="9">
          <cell r="A9" t="str">
            <v>P006</v>
          </cell>
          <cell r="B9" t="str">
            <v>Desk Lamp</v>
          </cell>
          <cell r="C9" t="str">
            <v>Furniture</v>
          </cell>
          <cell r="D9">
            <v>1800</v>
          </cell>
        </row>
        <row r="10">
          <cell r="A10" t="str">
            <v>P007</v>
          </cell>
          <cell r="B10" t="str">
            <v>External Hard Drive</v>
          </cell>
          <cell r="C10" t="str">
            <v>Technology</v>
          </cell>
          <cell r="D10">
            <v>6200</v>
          </cell>
        </row>
        <row r="11">
          <cell r="A11" t="str">
            <v>P008</v>
          </cell>
          <cell r="B11" t="str">
            <v>Notebook Set</v>
          </cell>
          <cell r="C11" t="str">
            <v>Office Supplies</v>
          </cell>
          <cell r="D11">
            <v>450</v>
          </cell>
        </row>
        <row r="12">
          <cell r="A12" t="str">
            <v>P009</v>
          </cell>
          <cell r="B12" t="str">
            <v>Whiteboard</v>
          </cell>
          <cell r="C12" t="str">
            <v>Office Supplies</v>
          </cell>
          <cell r="D12">
            <v>2400</v>
          </cell>
        </row>
        <row r="13">
          <cell r="A13" t="str">
            <v>P010</v>
          </cell>
          <cell r="B13" t="str">
            <v>Printer Paper Box</v>
          </cell>
          <cell r="C13" t="str">
            <v>Office Supplies</v>
          </cell>
          <cell r="D13">
            <v>1250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0D70A3-B649-4963-9743-D6CAEBDCF0D3}" name="Table1" displayName="Table1" ref="A3:K33" totalsRowShown="0" headerRowDxfId="7">
  <tableColumns count="11">
    <tableColumn id="1" xr3:uid="{E7D76CAB-748E-499D-8F78-CE62A4D71F1B}" name="Order ID"/>
    <tableColumn id="2" xr3:uid="{548AE898-E7A0-4C41-9C1B-E92CA9DACBFE}" name="Customer ID"/>
    <tableColumn id="3" xr3:uid="{0726C8D8-F817-45B5-A3BC-B78298AC5D6E}" name="Product ID"/>
    <tableColumn id="4" xr3:uid="{BBD980F8-1334-4690-83EA-3BC62483B68C}" name="Quantity"/>
    <tableColumn id="10" xr3:uid="{39C0ECB1-C094-4439-9F41-DACEFA96063B}" name="Index-Match" dataDxfId="6">
      <calculatedColumnFormula>INDEX([1]Sheet1!$B$5:$B$18,MATCH(B4,[1]Sheet1!$A$5:$A$18,0))</calculatedColumnFormula>
    </tableColumn>
    <tableColumn id="5" xr3:uid="{784989AB-6D02-4BB1-A6A7-4631BDF80142}" name="Customer Name" dataDxfId="5">
      <calculatedColumnFormula>_xlfn.XLOOKUP(B4,[2]Sheet1!$A$4:$A$33,[2]Sheet1!$B$4:$B$33)</calculatedColumnFormula>
    </tableColumn>
    <tableColumn id="6" xr3:uid="{FEC23489-B3B7-4E45-9B80-9CFE6814338C}" name="Product Name" dataDxfId="4">
      <calculatedColumnFormula>_xlfn.XLOOKUP(C4,'[3]Product Master'!$A$4:$A$13,'[3]Product Master'!$B$4:$B$13)</calculatedColumnFormula>
    </tableColumn>
    <tableColumn id="7" xr3:uid="{FE619815-389F-4779-9871-65F360F29489}" name="Category" dataDxfId="3">
      <calculatedColumnFormula>_xlfn.XLOOKUP(C4,'[3]Product Master'!$A$4:$A$13,'[3]Product Master'!$C$4:$C$13)</calculatedColumnFormula>
    </tableColumn>
    <tableColumn id="8" xr3:uid="{0D6AC899-457C-4A30-97B8-1CF999DDB7D8}" name="Unit Price" dataDxfId="2">
      <calculatedColumnFormula>VLOOKUP(C4,'[3]Product Master'!$A$4:$D$13,4,FALSE)</calculatedColumnFormula>
    </tableColumn>
    <tableColumn id="9" xr3:uid="{BC06E7C2-28AD-4AFB-AD95-7758FBAC15BF}" name="Customer City" dataDxfId="1">
      <calculatedColumnFormula>VLOOKUP(B4,[1]Sheet1!$A$4:$C$33,3,FALSE)</calculatedColumnFormula>
    </tableColumn>
    <tableColumn id="12" xr3:uid="{353F9E5A-A71C-40B8-8F82-38AE53F31B33}" name="Total Amount" dataDxfId="0">
      <calculatedColumnFormula>D4*I4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33"/>
  <sheetViews>
    <sheetView tabSelected="1" zoomScale="77" zoomScaleNormal="55" workbookViewId="0">
      <selection activeCell="P16" sqref="P16"/>
    </sheetView>
  </sheetViews>
  <sheetFormatPr defaultRowHeight="14.4" x14ac:dyDescent="0.3"/>
  <cols>
    <col min="1" max="1" width="9.88671875" customWidth="1"/>
    <col min="2" max="2" width="13.21875" customWidth="1"/>
    <col min="3" max="3" width="11.77734375" customWidth="1"/>
    <col min="4" max="4" width="10.21875" customWidth="1"/>
    <col min="5" max="5" width="21.33203125" customWidth="1"/>
    <col min="6" max="6" width="18.6640625" customWidth="1"/>
    <col min="7" max="7" width="18.109375" customWidth="1"/>
    <col min="8" max="8" width="16.21875" customWidth="1"/>
    <col min="9" max="9" width="22.44140625" customWidth="1"/>
    <col min="10" max="10" width="29" customWidth="1"/>
    <col min="11" max="11" width="17" customWidth="1"/>
  </cols>
  <sheetData>
    <row r="3" spans="1:11" x14ac:dyDescent="0.3">
      <c r="A3" s="4" t="s">
        <v>0</v>
      </c>
      <c r="B3" s="4" t="s">
        <v>1</v>
      </c>
      <c r="C3" s="4" t="s">
        <v>2</v>
      </c>
      <c r="D3" s="4" t="s">
        <v>3</v>
      </c>
      <c r="E3" s="4" t="s">
        <v>63</v>
      </c>
      <c r="F3" s="4" t="s">
        <v>58</v>
      </c>
      <c r="G3" s="4" t="s">
        <v>59</v>
      </c>
      <c r="H3" s="3" t="s">
        <v>60</v>
      </c>
      <c r="I3" s="4" t="s">
        <v>61</v>
      </c>
      <c r="J3" s="4" t="s">
        <v>62</v>
      </c>
      <c r="K3" s="4" t="s">
        <v>64</v>
      </c>
    </row>
    <row r="4" spans="1:11" x14ac:dyDescent="0.3">
      <c r="A4" t="s">
        <v>4</v>
      </c>
      <c r="B4" t="s">
        <v>5</v>
      </c>
      <c r="C4" t="s">
        <v>6</v>
      </c>
      <c r="D4">
        <v>2</v>
      </c>
      <c r="E4" s="1" t="str">
        <f>INDEX([1]Sheet1!$B$5:$B$18,MATCH(B4,[1]Sheet1!$A$5:$A$18,0))</f>
        <v>Amit</v>
      </c>
      <c r="F4" s="1" t="str">
        <f>_xlfn.XLOOKUP(B4,[2]Sheet1!$A$4:$A$33,[2]Sheet1!$B$4:$B$33)</f>
        <v>Amit</v>
      </c>
      <c r="G4" s="2" t="str">
        <f>_xlfn.XLOOKUP(C4,'[3]Product Master'!$A$4:$A$13,'[3]Product Master'!$B$4:$B$13)</f>
        <v>Wireless Mouse</v>
      </c>
      <c r="H4" s="2" t="str">
        <f>_xlfn.XLOOKUP(C4,'[3]Product Master'!$A$4:$A$13,'[3]Product Master'!$C$4:$C$13)</f>
        <v>Technology</v>
      </c>
      <c r="I4" s="2">
        <f>VLOOKUP(C4,'[3]Product Master'!$A$4:$D$13,4,FALSE)</f>
        <v>850</v>
      </c>
      <c r="J4" s="2" t="str">
        <f>VLOOKUP(B4,[1]Sheet1!$A$5:$C$18,3,FALSE)</f>
        <v>Rajkot</v>
      </c>
      <c r="K4" s="2">
        <f t="shared" ref="K4:K33" si="0">D4*I4</f>
        <v>1700</v>
      </c>
    </row>
    <row r="5" spans="1:11" x14ac:dyDescent="0.3">
      <c r="A5" t="s">
        <v>7</v>
      </c>
      <c r="B5" t="s">
        <v>8</v>
      </c>
      <c r="C5" t="s">
        <v>9</v>
      </c>
      <c r="D5">
        <v>1</v>
      </c>
      <c r="E5" s="1" t="str">
        <f>INDEX([1]Sheet1!$B$5:$B$18,MATCH(B5,[1]Sheet1!$A$5:$A$18,0))</f>
        <v>Priya</v>
      </c>
      <c r="F5" s="1" t="str">
        <f>_xlfn.XLOOKUP(B5,[2]Sheet1!$A$4:$A$33,[2]Sheet1!$B$4:$B$33)</f>
        <v>Priya</v>
      </c>
      <c r="G5" s="2" t="str">
        <f>_xlfn.XLOOKUP(C5,'[3]Product Master'!$A$4:$A$13,'[3]Product Master'!$B$4:$B$13)</f>
        <v>USB-C Hub</v>
      </c>
      <c r="H5" s="2" t="str">
        <f>_xlfn.XLOOKUP(C5,'[3]Product Master'!$A$4:$A$13,'[3]Product Master'!$C$4:$C$13)</f>
        <v>Technology</v>
      </c>
      <c r="I5" s="2">
        <f>VLOOKUP(C5,'[3]Product Master'!$A$4:$D$13,4,FALSE)</f>
        <v>1250</v>
      </c>
      <c r="J5" s="2" t="str">
        <f>VLOOKUP(B5,[1]Sheet1!$A$4:$C$33,3,FALSE)</f>
        <v>Ahmedabad</v>
      </c>
      <c r="K5" s="2">
        <f t="shared" si="0"/>
        <v>1250</v>
      </c>
    </row>
    <row r="6" spans="1:11" x14ac:dyDescent="0.3">
      <c r="A6" t="s">
        <v>10</v>
      </c>
      <c r="B6" t="s">
        <v>11</v>
      </c>
      <c r="C6" t="s">
        <v>12</v>
      </c>
      <c r="D6">
        <v>3</v>
      </c>
      <c r="E6" s="1" t="str">
        <f>INDEX([1]Sheet1!$B$5:$B$18,MATCH(B6,[1]Sheet1!$A$5:$A$18,0))</f>
        <v>Rahul</v>
      </c>
      <c r="F6" s="1" t="str">
        <f>_xlfn.XLOOKUP(B6,[2]Sheet1!$A$4:$A$33,[2]Sheet1!$B$4:$B$33)</f>
        <v>Rahul</v>
      </c>
      <c r="G6" s="2" t="str">
        <f>_xlfn.XLOOKUP(C6,'[3]Product Master'!$A$4:$A$13,'[3]Product Master'!$B$4:$B$13)</f>
        <v>Bluetooth Keyboard</v>
      </c>
      <c r="H6" s="2" t="str">
        <f>_xlfn.XLOOKUP(C6,'[3]Product Master'!$A$4:$A$13,'[3]Product Master'!$C$4:$C$13)</f>
        <v>Technology</v>
      </c>
      <c r="I6" s="2">
        <f>VLOOKUP(C6,'[3]Product Master'!$A$4:$D$13,4,FALSE)</f>
        <v>1450</v>
      </c>
      <c r="J6" s="2" t="str">
        <f>VLOOKUP(B6,[1]Sheet1!$A$4:$C$33,3,FALSE)</f>
        <v>Surat</v>
      </c>
      <c r="K6" s="2">
        <f t="shared" si="0"/>
        <v>4350</v>
      </c>
    </row>
    <row r="7" spans="1:11" x14ac:dyDescent="0.3">
      <c r="A7" t="s">
        <v>13</v>
      </c>
      <c r="B7" t="s">
        <v>14</v>
      </c>
      <c r="C7" t="s">
        <v>15</v>
      </c>
      <c r="D7">
        <v>1</v>
      </c>
      <c r="E7" s="1" t="str">
        <f>INDEX([1]Sheet1!$B$5:$B$18,MATCH(B7,[1]Sheet1!$A$5:$A$18,0))</f>
        <v>Neha</v>
      </c>
      <c r="F7" s="1" t="str">
        <f>_xlfn.XLOOKUP(B7,[2]Sheet1!$A$4:$A$33,[2]Sheet1!$B$4:$B$33)</f>
        <v>Neha</v>
      </c>
      <c r="G7" s="2" t="str">
        <f>_xlfn.XLOOKUP(C7,'[3]Product Master'!$A$4:$A$13,'[3]Product Master'!$B$4:$B$13)</f>
        <v>Office Chair</v>
      </c>
      <c r="H7" s="2" t="str">
        <f>_xlfn.XLOOKUP(C7,'[3]Product Master'!$A$4:$A$13,'[3]Product Master'!$C$4:$C$13)</f>
        <v>Furniture</v>
      </c>
      <c r="I7" s="2">
        <f>VLOOKUP(C7,'[3]Product Master'!$A$4:$D$13,4,FALSE)</f>
        <v>6500</v>
      </c>
      <c r="J7" s="2" t="str">
        <f>VLOOKUP(B7,[1]Sheet1!$A$4:$C$33,3,FALSE)</f>
        <v>Vadodara</v>
      </c>
      <c r="K7" s="2">
        <f t="shared" si="0"/>
        <v>6500</v>
      </c>
    </row>
    <row r="8" spans="1:11" x14ac:dyDescent="0.3">
      <c r="A8" t="s">
        <v>16</v>
      </c>
      <c r="B8" t="s">
        <v>17</v>
      </c>
      <c r="C8" t="s">
        <v>18</v>
      </c>
      <c r="D8">
        <v>2</v>
      </c>
      <c r="E8" s="1" t="str">
        <f>INDEX([1]Sheet1!$B$5:$B$18,MATCH(B8,[1]Sheet1!$A$5:$A$18,0))</f>
        <v>Karan</v>
      </c>
      <c r="F8" s="1" t="str">
        <f>_xlfn.XLOOKUP(B8,[2]Sheet1!$A$4:$A$33,[2]Sheet1!$B$4:$B$33)</f>
        <v>Karan</v>
      </c>
      <c r="G8" s="2" t="str">
        <f>_xlfn.XLOOKUP(C8,'[3]Product Master'!$A$4:$A$13,'[3]Product Master'!$B$4:$B$13)</f>
        <v>Laptop Stand</v>
      </c>
      <c r="H8" s="2" t="str">
        <f>_xlfn.XLOOKUP(C8,'[3]Product Master'!$A$4:$A$13,'[3]Product Master'!$C$4:$C$13)</f>
        <v>Furniture</v>
      </c>
      <c r="I8" s="2">
        <f>VLOOKUP(C8,'[3]Product Master'!$A$4:$D$13,4,FALSE)</f>
        <v>2100</v>
      </c>
      <c r="J8" s="2" t="str">
        <f>VLOOKUP(B8,[1]Sheet1!$A$4:$C$33,3,FALSE)</f>
        <v>Rajkot</v>
      </c>
      <c r="K8" s="2">
        <f t="shared" si="0"/>
        <v>4200</v>
      </c>
    </row>
    <row r="9" spans="1:11" x14ac:dyDescent="0.3">
      <c r="A9" t="s">
        <v>19</v>
      </c>
      <c r="B9" t="s">
        <v>20</v>
      </c>
      <c r="C9" t="s">
        <v>6</v>
      </c>
      <c r="D9">
        <v>1</v>
      </c>
      <c r="E9" s="1" t="str">
        <f>INDEX([1]Sheet1!$B$5:$B$18,MATCH(B9,[1]Sheet1!$A$5:$A$18,0))</f>
        <v>Pooja</v>
      </c>
      <c r="F9" s="1" t="str">
        <f>_xlfn.XLOOKUP(B9,[2]Sheet1!$A$4:$A$33,[2]Sheet1!$B$4:$B$33)</f>
        <v>Pooja</v>
      </c>
      <c r="G9" s="2" t="str">
        <f>_xlfn.XLOOKUP(C9,'[3]Product Master'!$A$4:$A$13,'[3]Product Master'!$B$4:$B$13)</f>
        <v>Wireless Mouse</v>
      </c>
      <c r="H9" s="2" t="str">
        <f>_xlfn.XLOOKUP(C9,'[3]Product Master'!$A$4:$A$13,'[3]Product Master'!$C$4:$C$13)</f>
        <v>Technology</v>
      </c>
      <c r="I9" s="2">
        <f>VLOOKUP(C9,'[3]Product Master'!$A$4:$D$13,4,FALSE)</f>
        <v>850</v>
      </c>
      <c r="J9" s="2" t="str">
        <f>VLOOKUP(B9,[1]Sheet1!$A$4:$C$33,3,FALSE)</f>
        <v>Gandhinagar</v>
      </c>
      <c r="K9" s="2">
        <f t="shared" si="0"/>
        <v>850</v>
      </c>
    </row>
    <row r="10" spans="1:11" x14ac:dyDescent="0.3">
      <c r="A10" t="s">
        <v>21</v>
      </c>
      <c r="B10" t="s">
        <v>5</v>
      </c>
      <c r="C10" t="s">
        <v>22</v>
      </c>
      <c r="D10">
        <v>2</v>
      </c>
      <c r="E10" s="1" t="str">
        <f>INDEX([1]Sheet1!$B$5:$B$18,MATCH(B10,[1]Sheet1!$A$5:$A$18,0))</f>
        <v>Amit</v>
      </c>
      <c r="F10" s="1" t="str">
        <f>_xlfn.XLOOKUP(B10,[2]Sheet1!$A$4:$A$33,[2]Sheet1!$B$4:$B$33)</f>
        <v>Amit</v>
      </c>
      <c r="G10" s="2" t="str">
        <f>_xlfn.XLOOKUP(C10,'[3]Product Master'!$A$4:$A$13,'[3]Product Master'!$B$4:$B$13)</f>
        <v>Desk Lamp</v>
      </c>
      <c r="H10" s="2" t="str">
        <f>_xlfn.XLOOKUP(C10,'[3]Product Master'!$A$4:$A$13,'[3]Product Master'!$C$4:$C$13)</f>
        <v>Furniture</v>
      </c>
      <c r="I10" s="2">
        <f>VLOOKUP(C10,'[3]Product Master'!$A$4:$D$13,4,FALSE)</f>
        <v>1800</v>
      </c>
      <c r="J10" s="2" t="str">
        <f>VLOOKUP(B10,[1]Sheet1!$A$4:$C$33,3,FALSE)</f>
        <v>Rajkot</v>
      </c>
      <c r="K10" s="2">
        <f t="shared" si="0"/>
        <v>3600</v>
      </c>
    </row>
    <row r="11" spans="1:11" x14ac:dyDescent="0.3">
      <c r="A11" t="s">
        <v>23</v>
      </c>
      <c r="B11" t="s">
        <v>24</v>
      </c>
      <c r="C11" t="s">
        <v>9</v>
      </c>
      <c r="D11">
        <v>2</v>
      </c>
      <c r="E11" s="1" t="str">
        <f>INDEX([1]Sheet1!$B$5:$B$18,MATCH(B11,[1]Sheet1!$A$5:$A$18,0))</f>
        <v>Riya</v>
      </c>
      <c r="F11" s="1" t="str">
        <f>_xlfn.XLOOKUP(B11,[2]Sheet1!$A$4:$A$33,[2]Sheet1!$B$4:$B$33)</f>
        <v>Riya</v>
      </c>
      <c r="G11" s="2" t="str">
        <f>_xlfn.XLOOKUP(C11,'[3]Product Master'!$A$4:$A$13,'[3]Product Master'!$B$4:$B$13)</f>
        <v>USB-C Hub</v>
      </c>
      <c r="H11" s="2" t="str">
        <f>_xlfn.XLOOKUP(C11,'[3]Product Master'!$A$4:$A$13,'[3]Product Master'!$C$4:$C$13)</f>
        <v>Technology</v>
      </c>
      <c r="I11" s="2">
        <f>VLOOKUP(C11,'[3]Product Master'!$A$4:$D$13,4,FALSE)</f>
        <v>1250</v>
      </c>
      <c r="J11" s="2" t="str">
        <f>VLOOKUP(B11,[1]Sheet1!$A$4:$C$33,3,FALSE)</f>
        <v>Jamnagar</v>
      </c>
      <c r="K11" s="2">
        <f t="shared" si="0"/>
        <v>2500</v>
      </c>
    </row>
    <row r="12" spans="1:11" x14ac:dyDescent="0.3">
      <c r="A12" t="s">
        <v>25</v>
      </c>
      <c r="B12" t="s">
        <v>26</v>
      </c>
      <c r="C12" t="s">
        <v>27</v>
      </c>
      <c r="D12">
        <v>1</v>
      </c>
      <c r="E12" s="1" t="str">
        <f>INDEX([1]Sheet1!$B$5:$B$18,MATCH(B12,[1]Sheet1!$A$5:$A$18,0))</f>
        <v>Arjun</v>
      </c>
      <c r="F12" s="1" t="str">
        <f>_xlfn.XLOOKUP(B12,[2]Sheet1!$A$4:$A$33,[2]Sheet1!$B$4:$B$33)</f>
        <v>Arjun</v>
      </c>
      <c r="G12" s="2" t="str">
        <f>_xlfn.XLOOKUP(C12,'[3]Product Master'!$A$4:$A$13,'[3]Product Master'!$B$4:$B$13)</f>
        <v>External Hard Drive</v>
      </c>
      <c r="H12" s="2" t="str">
        <f>_xlfn.XLOOKUP(C12,'[3]Product Master'!$A$4:$A$13,'[3]Product Master'!$C$4:$C$13)</f>
        <v>Technology</v>
      </c>
      <c r="I12" s="2">
        <f>VLOOKUP(C12,'[3]Product Master'!$A$4:$D$13,4,FALSE)</f>
        <v>6200</v>
      </c>
      <c r="J12" s="2" t="str">
        <f>VLOOKUP(B12,[1]Sheet1!$A$4:$C$33,3,FALSE)</f>
        <v>Bhavnagar</v>
      </c>
      <c r="K12" s="2">
        <f t="shared" si="0"/>
        <v>6200</v>
      </c>
    </row>
    <row r="13" spans="1:11" x14ac:dyDescent="0.3">
      <c r="A13" t="s">
        <v>28</v>
      </c>
      <c r="B13" t="s">
        <v>8</v>
      </c>
      <c r="C13" t="s">
        <v>15</v>
      </c>
      <c r="D13">
        <v>3</v>
      </c>
      <c r="E13" s="1" t="str">
        <f>INDEX([1]Sheet1!$B$5:$B$18,MATCH(B13,[1]Sheet1!$A$5:$A$18,0))</f>
        <v>Priya</v>
      </c>
      <c r="F13" s="1" t="str">
        <f>_xlfn.XLOOKUP(B13,[2]Sheet1!$A$4:$A$33,[2]Sheet1!$B$4:$B$33)</f>
        <v>Priya</v>
      </c>
      <c r="G13" s="2" t="str">
        <f>_xlfn.XLOOKUP(C13,'[3]Product Master'!$A$4:$A$13,'[3]Product Master'!$B$4:$B$13)</f>
        <v>Office Chair</v>
      </c>
      <c r="H13" s="2" t="str">
        <f>_xlfn.XLOOKUP(C13,'[3]Product Master'!$A$4:$A$13,'[3]Product Master'!$C$4:$C$13)</f>
        <v>Furniture</v>
      </c>
      <c r="I13" s="2">
        <f>VLOOKUP(C13,'[3]Product Master'!$A$4:$D$13,4,FALSE)</f>
        <v>6500</v>
      </c>
      <c r="J13" s="2" t="str">
        <f>VLOOKUP(B13,[1]Sheet1!$A$4:$C$33,3,FALSE)</f>
        <v>Ahmedabad</v>
      </c>
      <c r="K13" s="2">
        <f t="shared" si="0"/>
        <v>19500</v>
      </c>
    </row>
    <row r="14" spans="1:11" x14ac:dyDescent="0.3">
      <c r="A14" t="s">
        <v>29</v>
      </c>
      <c r="B14" t="s">
        <v>30</v>
      </c>
      <c r="C14" t="s">
        <v>12</v>
      </c>
      <c r="D14">
        <v>2</v>
      </c>
      <c r="E14" s="1" t="str">
        <f>INDEX([1]Sheet1!$B$5:$B$18,MATCH(B14,[1]Sheet1!$A$5:$A$18,0))</f>
        <v>Meera</v>
      </c>
      <c r="F14" s="1" t="str">
        <f>_xlfn.XLOOKUP(B14,[2]Sheet1!$A$4:$A$33,[2]Sheet1!$B$4:$B$33)</f>
        <v>Meera</v>
      </c>
      <c r="G14" s="2" t="str">
        <f>_xlfn.XLOOKUP(C14,'[3]Product Master'!$A$4:$A$13,'[3]Product Master'!$B$4:$B$13)</f>
        <v>Bluetooth Keyboard</v>
      </c>
      <c r="H14" s="2" t="str">
        <f>_xlfn.XLOOKUP(C14,'[3]Product Master'!$A$4:$A$13,'[3]Product Master'!$C$4:$C$13)</f>
        <v>Technology</v>
      </c>
      <c r="I14" s="2">
        <f>VLOOKUP(C14,'[3]Product Master'!$A$4:$D$13,4,FALSE)</f>
        <v>1450</v>
      </c>
      <c r="J14" s="2" t="str">
        <f>VLOOKUP(B14,[1]Sheet1!$A$4:$C$33,3,FALSE)</f>
        <v>Surat</v>
      </c>
      <c r="K14" s="2">
        <f t="shared" si="0"/>
        <v>2900</v>
      </c>
    </row>
    <row r="15" spans="1:11" x14ac:dyDescent="0.3">
      <c r="A15" t="s">
        <v>31</v>
      </c>
      <c r="B15" t="s">
        <v>32</v>
      </c>
      <c r="C15" t="s">
        <v>33</v>
      </c>
      <c r="D15">
        <v>1</v>
      </c>
      <c r="E15" s="1" t="str">
        <f>INDEX([1]Sheet1!$B$5:$B$18,MATCH(B15,[1]Sheet1!$A$5:$A$18,0))</f>
        <v>Vivek</v>
      </c>
      <c r="F15" s="1" t="str">
        <f>_xlfn.XLOOKUP(B15,[2]Sheet1!$A$4:$A$33,[2]Sheet1!$B$4:$B$33)</f>
        <v>Vivek</v>
      </c>
      <c r="G15" s="2" t="str">
        <f>_xlfn.XLOOKUP(C15,'[3]Product Master'!$A$4:$A$13,'[3]Product Master'!$B$4:$B$13)</f>
        <v>Notebook Set</v>
      </c>
      <c r="H15" s="2" t="str">
        <f>_xlfn.XLOOKUP(C15,'[3]Product Master'!$A$4:$A$13,'[3]Product Master'!$C$4:$C$13)</f>
        <v>Office Supplies</v>
      </c>
      <c r="I15" s="2">
        <f>VLOOKUP(C15,'[3]Product Master'!$A$4:$D$13,4,FALSE)</f>
        <v>450</v>
      </c>
      <c r="J15" s="2" t="str">
        <f>VLOOKUP(B15,[1]Sheet1!$A$4:$C$33,3,FALSE)</f>
        <v>Vadodara</v>
      </c>
      <c r="K15" s="2">
        <f t="shared" si="0"/>
        <v>450</v>
      </c>
    </row>
    <row r="16" spans="1:11" x14ac:dyDescent="0.3">
      <c r="A16" t="s">
        <v>34</v>
      </c>
      <c r="B16" t="s">
        <v>11</v>
      </c>
      <c r="C16" t="s">
        <v>18</v>
      </c>
      <c r="D16">
        <v>2</v>
      </c>
      <c r="E16" s="1" t="str">
        <f>INDEX([1]Sheet1!$B$5:$B$18,MATCH(B16,[1]Sheet1!$A$5:$A$18,0))</f>
        <v>Rahul</v>
      </c>
      <c r="F16" s="1" t="str">
        <f>_xlfn.XLOOKUP(B16,[2]Sheet1!$A$4:$A$33,[2]Sheet1!$B$4:$B$33)</f>
        <v>Rahul</v>
      </c>
      <c r="G16" s="2" t="str">
        <f>_xlfn.XLOOKUP(C16,'[3]Product Master'!$A$4:$A$13,'[3]Product Master'!$B$4:$B$13)</f>
        <v>Laptop Stand</v>
      </c>
      <c r="H16" s="2" t="str">
        <f>_xlfn.XLOOKUP(C16,'[3]Product Master'!$A$4:$A$13,'[3]Product Master'!$C$4:$C$13)</f>
        <v>Furniture</v>
      </c>
      <c r="I16" s="2">
        <f>VLOOKUP(C16,'[3]Product Master'!$A$4:$D$13,4,FALSE)</f>
        <v>2100</v>
      </c>
      <c r="J16" s="2" t="str">
        <f>VLOOKUP(B16,[1]Sheet1!$A$4:$C$33,3,FALSE)</f>
        <v>Surat</v>
      </c>
      <c r="K16" s="2">
        <f t="shared" si="0"/>
        <v>4200</v>
      </c>
    </row>
    <row r="17" spans="1:11" x14ac:dyDescent="0.3">
      <c r="A17" t="s">
        <v>35</v>
      </c>
      <c r="B17" t="s">
        <v>36</v>
      </c>
      <c r="C17" t="s">
        <v>22</v>
      </c>
      <c r="D17">
        <v>1</v>
      </c>
      <c r="E17" s="1" t="str">
        <f>INDEX([1]Sheet1!$B$5:$B$18,MATCH(B17,[1]Sheet1!$A$5:$A$18,0))</f>
        <v>Anjali</v>
      </c>
      <c r="F17" s="1" t="str">
        <f>_xlfn.XLOOKUP(B17,[2]Sheet1!$A$4:$A$33,[2]Sheet1!$B$4:$B$33)</f>
        <v>Anjali</v>
      </c>
      <c r="G17" s="2" t="str">
        <f>_xlfn.XLOOKUP(C17,'[3]Product Master'!$A$4:$A$13,'[3]Product Master'!$B$4:$B$13)</f>
        <v>Desk Lamp</v>
      </c>
      <c r="H17" s="2" t="str">
        <f>_xlfn.XLOOKUP(C17,'[3]Product Master'!$A$4:$A$13,'[3]Product Master'!$C$4:$C$13)</f>
        <v>Furniture</v>
      </c>
      <c r="I17" s="2">
        <f>VLOOKUP(C17,'[3]Product Master'!$A$4:$D$13,4,FALSE)</f>
        <v>1800</v>
      </c>
      <c r="J17" s="2" t="str">
        <f>VLOOKUP(B17,[1]Sheet1!$A$4:$C$33,3,FALSE)</f>
        <v>Rajkot</v>
      </c>
      <c r="K17" s="2">
        <f t="shared" si="0"/>
        <v>1800</v>
      </c>
    </row>
    <row r="18" spans="1:11" x14ac:dyDescent="0.3">
      <c r="A18" t="s">
        <v>37</v>
      </c>
      <c r="B18" t="s">
        <v>38</v>
      </c>
      <c r="C18" t="s">
        <v>39</v>
      </c>
      <c r="D18">
        <v>4</v>
      </c>
      <c r="E18" s="1" t="str">
        <f>INDEX([1]Sheet1!$B$5:$B$18,MATCH(B18,[1]Sheet1!$A$5:$A$18,0))</f>
        <v>Nikhil</v>
      </c>
      <c r="F18" s="1" t="str">
        <f>_xlfn.XLOOKUP(B18,[2]Sheet1!$A$4:$A$33,[2]Sheet1!$B$4:$B$33)</f>
        <v>Nikhil</v>
      </c>
      <c r="G18" s="2" t="str">
        <f>_xlfn.XLOOKUP(C18,'[3]Product Master'!$A$4:$A$13,'[3]Product Master'!$B$4:$B$13)</f>
        <v>Whiteboard</v>
      </c>
      <c r="H18" s="2" t="str">
        <f>_xlfn.XLOOKUP(C18,'[3]Product Master'!$A$4:$A$13,'[3]Product Master'!$C$4:$C$13)</f>
        <v>Office Supplies</v>
      </c>
      <c r="I18" s="2">
        <f>VLOOKUP(C18,'[3]Product Master'!$A$4:$D$13,4,FALSE)</f>
        <v>2400</v>
      </c>
      <c r="J18" s="2" t="str">
        <f>VLOOKUP(B18,[1]Sheet1!$A$4:$C$33,3,FALSE)</f>
        <v>Ahmedabad</v>
      </c>
      <c r="K18" s="2">
        <f t="shared" si="0"/>
        <v>9600</v>
      </c>
    </row>
    <row r="19" spans="1:11" x14ac:dyDescent="0.3">
      <c r="A19" t="s">
        <v>40</v>
      </c>
      <c r="B19" t="s">
        <v>14</v>
      </c>
      <c r="C19" t="s">
        <v>27</v>
      </c>
      <c r="D19">
        <v>2</v>
      </c>
      <c r="E19" s="1" t="str">
        <f>INDEX([1]Sheet1!$B$5:$B$18,MATCH(B19,[1]Sheet1!$A$5:$A$18,0))</f>
        <v>Neha</v>
      </c>
      <c r="F19" s="1" t="str">
        <f>_xlfn.XLOOKUP(B19,[2]Sheet1!$A$4:$A$33,[2]Sheet1!$B$4:$B$33)</f>
        <v>Neha</v>
      </c>
      <c r="G19" s="2" t="str">
        <f>_xlfn.XLOOKUP(C19,'[3]Product Master'!$A$4:$A$13,'[3]Product Master'!$B$4:$B$13)</f>
        <v>External Hard Drive</v>
      </c>
      <c r="H19" s="2" t="str">
        <f>_xlfn.XLOOKUP(C19,'[3]Product Master'!$A$4:$A$13,'[3]Product Master'!$C$4:$C$13)</f>
        <v>Technology</v>
      </c>
      <c r="I19" s="2">
        <f>VLOOKUP(C19,'[3]Product Master'!$A$4:$D$13,4,FALSE)</f>
        <v>6200</v>
      </c>
      <c r="J19" s="2" t="str">
        <f>VLOOKUP(B19,[1]Sheet1!$A$4:$C$33,3,FALSE)</f>
        <v>Vadodara</v>
      </c>
      <c r="K19" s="2">
        <f t="shared" si="0"/>
        <v>12400</v>
      </c>
    </row>
    <row r="20" spans="1:11" x14ac:dyDescent="0.3">
      <c r="A20" t="s">
        <v>41</v>
      </c>
      <c r="B20" t="s">
        <v>17</v>
      </c>
      <c r="C20" t="s">
        <v>6</v>
      </c>
      <c r="D20">
        <v>3</v>
      </c>
      <c r="E20" s="1" t="str">
        <f>INDEX([1]Sheet1!$B$5:$B$18,MATCH(B20,[1]Sheet1!$A$5:$A$18,0))</f>
        <v>Karan</v>
      </c>
      <c r="F20" s="1" t="str">
        <f>_xlfn.XLOOKUP(B20,[2]Sheet1!$A$4:$A$33,[2]Sheet1!$B$4:$B$33)</f>
        <v>Karan</v>
      </c>
      <c r="G20" s="2" t="str">
        <f>_xlfn.XLOOKUP(C20,'[3]Product Master'!$A$4:$A$13,'[3]Product Master'!$B$4:$B$13)</f>
        <v>Wireless Mouse</v>
      </c>
      <c r="H20" s="2" t="str">
        <f>_xlfn.XLOOKUP(C20,'[3]Product Master'!$A$4:$A$13,'[3]Product Master'!$C$4:$C$13)</f>
        <v>Technology</v>
      </c>
      <c r="I20" s="2">
        <f>VLOOKUP(C20,'[3]Product Master'!$A$4:$D$13,4,FALSE)</f>
        <v>850</v>
      </c>
      <c r="J20" s="2" t="str">
        <f>VLOOKUP(B20,[1]Sheet1!$A$4:$C$33,3,FALSE)</f>
        <v>Rajkot</v>
      </c>
      <c r="K20" s="2">
        <f t="shared" si="0"/>
        <v>2550</v>
      </c>
    </row>
    <row r="21" spans="1:11" x14ac:dyDescent="0.3">
      <c r="A21" t="s">
        <v>42</v>
      </c>
      <c r="B21" t="s">
        <v>20</v>
      </c>
      <c r="C21" t="s">
        <v>43</v>
      </c>
      <c r="D21">
        <v>1</v>
      </c>
      <c r="E21" s="1" t="str">
        <f>INDEX([1]Sheet1!$B$5:$B$18,MATCH(B21,[1]Sheet1!$A$5:$A$18,0))</f>
        <v>Pooja</v>
      </c>
      <c r="F21" s="1" t="str">
        <f>_xlfn.XLOOKUP(B21,[2]Sheet1!$A$4:$A$33,[2]Sheet1!$B$4:$B$33)</f>
        <v>Pooja</v>
      </c>
      <c r="G21" s="2" t="str">
        <f>_xlfn.XLOOKUP(C21,'[3]Product Master'!$A$4:$A$13,'[3]Product Master'!$B$4:$B$13)</f>
        <v>Printer Paper Box</v>
      </c>
      <c r="H21" s="2" t="str">
        <f>_xlfn.XLOOKUP(C21,'[3]Product Master'!$A$4:$A$13,'[3]Product Master'!$C$4:$C$13)</f>
        <v>Office Supplies</v>
      </c>
      <c r="I21" s="2">
        <f>VLOOKUP(C21,'[3]Product Master'!$A$4:$D$13,4,FALSE)</f>
        <v>1250</v>
      </c>
      <c r="J21" s="2" t="str">
        <f>VLOOKUP(B21,[1]Sheet1!$A$4:$C$33,3,FALSE)</f>
        <v>Gandhinagar</v>
      </c>
      <c r="K21" s="2">
        <f t="shared" si="0"/>
        <v>1250</v>
      </c>
    </row>
    <row r="22" spans="1:11" x14ac:dyDescent="0.3">
      <c r="A22" t="s">
        <v>44</v>
      </c>
      <c r="B22" t="s">
        <v>45</v>
      </c>
      <c r="C22" t="s">
        <v>9</v>
      </c>
      <c r="D22">
        <v>2</v>
      </c>
      <c r="E22" s="1" t="str">
        <f>INDEX([1]Sheet1!$B$5:$B$18,MATCH(B22,[1]Sheet1!$A$5:$A$18,0))</f>
        <v>Isha</v>
      </c>
      <c r="F22" s="1" t="str">
        <f>_xlfn.XLOOKUP(B22,[2]Sheet1!$A$4:$A$33,[2]Sheet1!$B$4:$B$33)</f>
        <v>Isha</v>
      </c>
      <c r="G22" s="2" t="str">
        <f>_xlfn.XLOOKUP(C22,'[3]Product Master'!$A$4:$A$13,'[3]Product Master'!$B$4:$B$13)</f>
        <v>USB-C Hub</v>
      </c>
      <c r="H22" s="2" t="str">
        <f>_xlfn.XLOOKUP(C22,'[3]Product Master'!$A$4:$A$13,'[3]Product Master'!$C$4:$C$13)</f>
        <v>Technology</v>
      </c>
      <c r="I22" s="2">
        <f>VLOOKUP(C22,'[3]Product Master'!$A$4:$D$13,4,FALSE)</f>
        <v>1250</v>
      </c>
      <c r="J22" s="2" t="str">
        <f>VLOOKUP(B22,[1]Sheet1!$A$4:$C$33,3,FALSE)</f>
        <v>Gandhinagar</v>
      </c>
      <c r="K22" s="2">
        <f t="shared" si="0"/>
        <v>2500</v>
      </c>
    </row>
    <row r="23" spans="1:11" x14ac:dyDescent="0.3">
      <c r="A23" t="s">
        <v>46</v>
      </c>
      <c r="B23" t="s">
        <v>47</v>
      </c>
      <c r="C23" t="s">
        <v>15</v>
      </c>
      <c r="D23">
        <v>1</v>
      </c>
      <c r="E23" s="1" t="str">
        <f>INDEX([1]Sheet1!$B$5:$B$18,MATCH(B23,[1]Sheet1!$A$5:$A$18,0))</f>
        <v>Manav</v>
      </c>
      <c r="F23" s="1" t="str">
        <f>_xlfn.XLOOKUP(B23,[2]Sheet1!$A$4:$A$33,[2]Sheet1!$B$4:$B$33)</f>
        <v>Manav</v>
      </c>
      <c r="G23" s="2" t="str">
        <f>_xlfn.XLOOKUP(C23,'[3]Product Master'!$A$4:$A$13,'[3]Product Master'!$B$4:$B$13)</f>
        <v>Office Chair</v>
      </c>
      <c r="H23" s="2" t="str">
        <f>_xlfn.XLOOKUP(C23,'[3]Product Master'!$A$4:$A$13,'[3]Product Master'!$C$4:$C$13)</f>
        <v>Furniture</v>
      </c>
      <c r="I23" s="2">
        <f>VLOOKUP(C23,'[3]Product Master'!$A$4:$D$13,4,FALSE)</f>
        <v>6500</v>
      </c>
      <c r="J23" s="2" t="str">
        <f>VLOOKUP(B23,[1]Sheet1!$A$4:$C$33,3,FALSE)</f>
        <v>Jamnagar</v>
      </c>
      <c r="K23" s="2">
        <f t="shared" si="0"/>
        <v>6500</v>
      </c>
    </row>
    <row r="24" spans="1:11" x14ac:dyDescent="0.3">
      <c r="A24" t="s">
        <v>48</v>
      </c>
      <c r="B24" t="s">
        <v>24</v>
      </c>
      <c r="C24" t="s">
        <v>33</v>
      </c>
      <c r="D24">
        <v>2</v>
      </c>
      <c r="E24" s="1" t="str">
        <f>INDEX([1]Sheet1!$B$5:$B$18,MATCH(B24,[1]Sheet1!$A$5:$A$18,0))</f>
        <v>Riya</v>
      </c>
      <c r="F24" s="1" t="str">
        <f>_xlfn.XLOOKUP(B24,[2]Sheet1!$A$4:$A$33,[2]Sheet1!$B$4:$B$33)</f>
        <v>Riya</v>
      </c>
      <c r="G24" s="2" t="str">
        <f>_xlfn.XLOOKUP(C24,'[3]Product Master'!$A$4:$A$13,'[3]Product Master'!$B$4:$B$13)</f>
        <v>Notebook Set</v>
      </c>
      <c r="H24" s="2" t="str">
        <f>_xlfn.XLOOKUP(C24,'[3]Product Master'!$A$4:$A$13,'[3]Product Master'!$C$4:$C$13)</f>
        <v>Office Supplies</v>
      </c>
      <c r="I24" s="2">
        <f>VLOOKUP(C24,'[3]Product Master'!$A$4:$D$13,4,FALSE)</f>
        <v>450</v>
      </c>
      <c r="J24" s="2" t="str">
        <f>VLOOKUP(B24,[1]Sheet1!$A$4:$C$33,3,FALSE)</f>
        <v>Jamnagar</v>
      </c>
      <c r="K24" s="2">
        <f t="shared" si="0"/>
        <v>900</v>
      </c>
    </row>
    <row r="25" spans="1:11" x14ac:dyDescent="0.3">
      <c r="A25" t="s">
        <v>49</v>
      </c>
      <c r="B25" t="s">
        <v>26</v>
      </c>
      <c r="C25" t="s">
        <v>12</v>
      </c>
      <c r="D25">
        <v>1</v>
      </c>
      <c r="E25" s="1" t="str">
        <f>INDEX([1]Sheet1!$B$5:$B$18,MATCH(B25,[1]Sheet1!$A$5:$A$18,0))</f>
        <v>Arjun</v>
      </c>
      <c r="F25" s="1" t="str">
        <f>_xlfn.XLOOKUP(B25,[2]Sheet1!$A$4:$A$33,[2]Sheet1!$B$4:$B$33)</f>
        <v>Arjun</v>
      </c>
      <c r="G25" s="2" t="str">
        <f>_xlfn.XLOOKUP(C25,'[3]Product Master'!$A$4:$A$13,'[3]Product Master'!$B$4:$B$13)</f>
        <v>Bluetooth Keyboard</v>
      </c>
      <c r="H25" s="2" t="str">
        <f>_xlfn.XLOOKUP(C25,'[3]Product Master'!$A$4:$A$13,'[3]Product Master'!$C$4:$C$13)</f>
        <v>Technology</v>
      </c>
      <c r="I25" s="2">
        <f>VLOOKUP(C25,'[3]Product Master'!$A$4:$D$13,4,FALSE)</f>
        <v>1450</v>
      </c>
      <c r="J25" s="2" t="str">
        <f>VLOOKUP(B25,[1]Sheet1!$A$4:$C$33,3,FALSE)</f>
        <v>Bhavnagar</v>
      </c>
      <c r="K25" s="2">
        <f t="shared" si="0"/>
        <v>1450</v>
      </c>
    </row>
    <row r="26" spans="1:11" x14ac:dyDescent="0.3">
      <c r="A26" t="s">
        <v>50</v>
      </c>
      <c r="B26" t="s">
        <v>30</v>
      </c>
      <c r="C26" t="s">
        <v>18</v>
      </c>
      <c r="D26">
        <v>3</v>
      </c>
      <c r="E26" s="1" t="str">
        <f>INDEX([1]Sheet1!$B$5:$B$18,MATCH(B26,[1]Sheet1!$A$5:$A$18,0))</f>
        <v>Meera</v>
      </c>
      <c r="F26" s="1" t="str">
        <f>_xlfn.XLOOKUP(B26,[2]Sheet1!$A$4:$A$33,[2]Sheet1!$B$4:$B$33)</f>
        <v>Meera</v>
      </c>
      <c r="G26" s="2" t="str">
        <f>_xlfn.XLOOKUP(C26,'[3]Product Master'!$A$4:$A$13,'[3]Product Master'!$B$4:$B$13)</f>
        <v>Laptop Stand</v>
      </c>
      <c r="H26" s="2" t="str">
        <f>_xlfn.XLOOKUP(C26,'[3]Product Master'!$A$4:$A$13,'[3]Product Master'!$C$4:$C$13)</f>
        <v>Furniture</v>
      </c>
      <c r="I26" s="2">
        <f>VLOOKUP(C26,'[3]Product Master'!$A$4:$D$13,4,FALSE)</f>
        <v>2100</v>
      </c>
      <c r="J26" s="2" t="str">
        <f>VLOOKUP(B26,[1]Sheet1!$A$4:$C$33,3,FALSE)</f>
        <v>Surat</v>
      </c>
      <c r="K26" s="2">
        <f t="shared" si="0"/>
        <v>6300</v>
      </c>
    </row>
    <row r="27" spans="1:11" x14ac:dyDescent="0.3">
      <c r="A27" t="s">
        <v>51</v>
      </c>
      <c r="B27" t="s">
        <v>32</v>
      </c>
      <c r="C27" t="s">
        <v>22</v>
      </c>
      <c r="D27">
        <v>2</v>
      </c>
      <c r="E27" s="1" t="str">
        <f>INDEX([1]Sheet1!$B$5:$B$18,MATCH(B27,[1]Sheet1!$A$5:$A$18,0))</f>
        <v>Vivek</v>
      </c>
      <c r="F27" s="1" t="str">
        <f>_xlfn.XLOOKUP(B27,[2]Sheet1!$A$4:$A$33,[2]Sheet1!$B$4:$B$33)</f>
        <v>Vivek</v>
      </c>
      <c r="G27" s="2" t="str">
        <f>_xlfn.XLOOKUP(C27,'[3]Product Master'!$A$4:$A$13,'[3]Product Master'!$B$4:$B$13)</f>
        <v>Desk Lamp</v>
      </c>
      <c r="H27" s="2" t="str">
        <f>_xlfn.XLOOKUP(C27,'[3]Product Master'!$A$4:$A$13,'[3]Product Master'!$C$4:$C$13)</f>
        <v>Furniture</v>
      </c>
      <c r="I27" s="2">
        <f>VLOOKUP(C27,'[3]Product Master'!$A$4:$D$13,4,FALSE)</f>
        <v>1800</v>
      </c>
      <c r="J27" s="2" t="str">
        <f>VLOOKUP(B27,[1]Sheet1!$A$4:$C$33,3,FALSE)</f>
        <v>Vadodara</v>
      </c>
      <c r="K27" s="2">
        <f t="shared" si="0"/>
        <v>3600</v>
      </c>
    </row>
    <row r="28" spans="1:11" x14ac:dyDescent="0.3">
      <c r="A28" t="s">
        <v>52</v>
      </c>
      <c r="B28" t="s">
        <v>36</v>
      </c>
      <c r="C28" t="s">
        <v>39</v>
      </c>
      <c r="D28">
        <v>1</v>
      </c>
      <c r="E28" s="1" t="str">
        <f>INDEX([1]Sheet1!$B$5:$B$18,MATCH(B28,[1]Sheet1!$A$5:$A$18,0))</f>
        <v>Anjali</v>
      </c>
      <c r="F28" s="1" t="str">
        <f>_xlfn.XLOOKUP(B28,[2]Sheet1!$A$4:$A$33,[2]Sheet1!$B$4:$B$33)</f>
        <v>Anjali</v>
      </c>
      <c r="G28" s="2" t="str">
        <f>_xlfn.XLOOKUP(C28,'[3]Product Master'!$A$4:$A$13,'[3]Product Master'!$B$4:$B$13)</f>
        <v>Whiteboard</v>
      </c>
      <c r="H28" s="2" t="str">
        <f>_xlfn.XLOOKUP(C28,'[3]Product Master'!$A$4:$A$13,'[3]Product Master'!$C$4:$C$13)</f>
        <v>Office Supplies</v>
      </c>
      <c r="I28" s="2">
        <f>VLOOKUP(C28,'[3]Product Master'!$A$4:$D$13,4,FALSE)</f>
        <v>2400</v>
      </c>
      <c r="J28" s="2" t="str">
        <f>VLOOKUP(B28,[1]Sheet1!$A$4:$C$33,3,FALSE)</f>
        <v>Rajkot</v>
      </c>
      <c r="K28" s="2">
        <f t="shared" si="0"/>
        <v>2400</v>
      </c>
    </row>
    <row r="29" spans="1:11" x14ac:dyDescent="0.3">
      <c r="A29" t="s">
        <v>53</v>
      </c>
      <c r="B29" t="s">
        <v>38</v>
      </c>
      <c r="C29" t="s">
        <v>27</v>
      </c>
      <c r="D29">
        <v>2</v>
      </c>
      <c r="E29" s="1" t="str">
        <f>INDEX([1]Sheet1!$B$5:$B$18,MATCH(B29,[1]Sheet1!$A$5:$A$18,0))</f>
        <v>Nikhil</v>
      </c>
      <c r="F29" s="1" t="str">
        <f>_xlfn.XLOOKUP(B29,[2]Sheet1!$A$4:$A$33,[2]Sheet1!$B$4:$B$33)</f>
        <v>Nikhil</v>
      </c>
      <c r="G29" s="2" t="str">
        <f>_xlfn.XLOOKUP(C29,'[3]Product Master'!$A$4:$A$13,'[3]Product Master'!$B$4:$B$13)</f>
        <v>External Hard Drive</v>
      </c>
      <c r="H29" s="2" t="str">
        <f>_xlfn.XLOOKUP(C29,'[3]Product Master'!$A$4:$A$13,'[3]Product Master'!$C$4:$C$13)</f>
        <v>Technology</v>
      </c>
      <c r="I29" s="2">
        <f>VLOOKUP(C29,'[3]Product Master'!$A$4:$D$13,4,FALSE)</f>
        <v>6200</v>
      </c>
      <c r="J29" s="2" t="str">
        <f>VLOOKUP(B29,[1]Sheet1!$A$4:$C$33,3,FALSE)</f>
        <v>Ahmedabad</v>
      </c>
      <c r="K29" s="2">
        <f t="shared" si="0"/>
        <v>12400</v>
      </c>
    </row>
    <row r="30" spans="1:11" x14ac:dyDescent="0.3">
      <c r="A30" t="s">
        <v>54</v>
      </c>
      <c r="B30" t="s">
        <v>45</v>
      </c>
      <c r="C30" t="s">
        <v>43</v>
      </c>
      <c r="D30">
        <v>1</v>
      </c>
      <c r="E30" s="1" t="str">
        <f>INDEX([1]Sheet1!$B$5:$B$18,MATCH(B30,[1]Sheet1!$A$5:$A$18,0))</f>
        <v>Isha</v>
      </c>
      <c r="F30" s="1" t="str">
        <f>_xlfn.XLOOKUP(B30,[2]Sheet1!$A$4:$A$33,[2]Sheet1!$B$4:$B$33)</f>
        <v>Isha</v>
      </c>
      <c r="G30" s="2" t="str">
        <f>_xlfn.XLOOKUP(C30,'[3]Product Master'!$A$4:$A$13,'[3]Product Master'!$B$4:$B$13)</f>
        <v>Printer Paper Box</v>
      </c>
      <c r="H30" s="2" t="str">
        <f>_xlfn.XLOOKUP(C30,'[3]Product Master'!$A$4:$A$13,'[3]Product Master'!$C$4:$C$13)</f>
        <v>Office Supplies</v>
      </c>
      <c r="I30" s="2">
        <f>VLOOKUP(C30,'[3]Product Master'!$A$4:$D$13,4,FALSE)</f>
        <v>1250</v>
      </c>
      <c r="J30" s="2" t="str">
        <f>VLOOKUP(B30,[1]Sheet1!$A$4:$C$33,3,FALSE)</f>
        <v>Gandhinagar</v>
      </c>
      <c r="K30" s="2">
        <f t="shared" si="0"/>
        <v>1250</v>
      </c>
    </row>
    <row r="31" spans="1:11" x14ac:dyDescent="0.3">
      <c r="A31" t="s">
        <v>55</v>
      </c>
      <c r="B31" t="s">
        <v>47</v>
      </c>
      <c r="C31" t="s">
        <v>33</v>
      </c>
      <c r="D31">
        <v>3</v>
      </c>
      <c r="E31" s="1" t="str">
        <f>INDEX([1]Sheet1!$B$5:$B$18,MATCH(B31,[1]Sheet1!$A$5:$A$18,0))</f>
        <v>Manav</v>
      </c>
      <c r="F31" s="1" t="str">
        <f>_xlfn.XLOOKUP(B31,[2]Sheet1!$A$4:$A$33,[2]Sheet1!$B$4:$B$33)</f>
        <v>Manav</v>
      </c>
      <c r="G31" s="2" t="str">
        <f>_xlfn.XLOOKUP(C31,'[3]Product Master'!$A$4:$A$13,'[3]Product Master'!$B$4:$B$13)</f>
        <v>Notebook Set</v>
      </c>
      <c r="H31" s="2" t="str">
        <f>_xlfn.XLOOKUP(C31,'[3]Product Master'!$A$4:$A$13,'[3]Product Master'!$C$4:$C$13)</f>
        <v>Office Supplies</v>
      </c>
      <c r="I31" s="2">
        <f>VLOOKUP(C31,'[3]Product Master'!$A$4:$D$13,4,FALSE)</f>
        <v>450</v>
      </c>
      <c r="J31" s="2" t="str">
        <f>VLOOKUP(B31,[1]Sheet1!$A$4:$C$33,3,FALSE)</f>
        <v>Jamnagar</v>
      </c>
      <c r="K31" s="2">
        <f t="shared" si="0"/>
        <v>1350</v>
      </c>
    </row>
    <row r="32" spans="1:11" x14ac:dyDescent="0.3">
      <c r="A32" t="s">
        <v>56</v>
      </c>
      <c r="B32" t="s">
        <v>5</v>
      </c>
      <c r="C32" t="s">
        <v>12</v>
      </c>
      <c r="D32">
        <v>2</v>
      </c>
      <c r="E32" s="1" t="str">
        <f>INDEX([1]Sheet1!$B$5:$B$18,MATCH(B32,[1]Sheet1!$A$5:$A$18,0))</f>
        <v>Amit</v>
      </c>
      <c r="F32" s="1" t="str">
        <f>_xlfn.XLOOKUP(B32,[2]Sheet1!$A$4:$A$33,[2]Sheet1!$B$4:$B$33)</f>
        <v>Amit</v>
      </c>
      <c r="G32" s="2" t="str">
        <f>_xlfn.XLOOKUP(C32,'[3]Product Master'!$A$4:$A$13,'[3]Product Master'!$B$4:$B$13)</f>
        <v>Bluetooth Keyboard</v>
      </c>
      <c r="H32" s="2" t="str">
        <f>_xlfn.XLOOKUP(C32,'[3]Product Master'!$A$4:$A$13,'[3]Product Master'!$C$4:$C$13)</f>
        <v>Technology</v>
      </c>
      <c r="I32" s="2">
        <f>VLOOKUP(C32,'[3]Product Master'!$A$4:$D$13,4,FALSE)</f>
        <v>1450</v>
      </c>
      <c r="J32" s="2" t="str">
        <f>VLOOKUP(B32,[1]Sheet1!$A$4:$C$33,3,FALSE)</f>
        <v>Rajkot</v>
      </c>
      <c r="K32" s="2">
        <f t="shared" si="0"/>
        <v>2900</v>
      </c>
    </row>
    <row r="33" spans="1:11" x14ac:dyDescent="0.3">
      <c r="A33" t="s">
        <v>57</v>
      </c>
      <c r="B33" t="s">
        <v>8</v>
      </c>
      <c r="C33" t="s">
        <v>18</v>
      </c>
      <c r="D33">
        <v>1</v>
      </c>
      <c r="E33" s="1" t="str">
        <f>INDEX([1]Sheet1!$B$5:$B$18,MATCH(B33,[1]Sheet1!$A$5:$A$18,0))</f>
        <v>Priya</v>
      </c>
      <c r="F33" s="1" t="str">
        <f>_xlfn.XLOOKUP(B33,[2]Sheet1!$A$4:$A$33,[2]Sheet1!$B$4:$B$33)</f>
        <v>Priya</v>
      </c>
      <c r="G33" s="2" t="str">
        <f>_xlfn.XLOOKUP(C33,'[3]Product Master'!$A$4:$A$13,'[3]Product Master'!$B$4:$B$13)</f>
        <v>Laptop Stand</v>
      </c>
      <c r="H33" s="2" t="str">
        <f>_xlfn.XLOOKUP(C33,'[3]Product Master'!$A$4:$A$13,'[3]Product Master'!$C$4:$C$13)</f>
        <v>Furniture</v>
      </c>
      <c r="I33" s="2">
        <f>VLOOKUP(C33,'[3]Product Master'!$A$4:$D$13,4,FALSE)</f>
        <v>2100</v>
      </c>
      <c r="J33" s="2" t="str">
        <f>VLOOKUP(B33,[1]Sheet1!$A$4:$C$33,3,FALSE)</f>
        <v>Ahmedabad</v>
      </c>
      <c r="K33" s="2">
        <f t="shared" si="0"/>
        <v>2100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Namrata</dc:creator>
  <cp:lastModifiedBy>Namrata Tarapara</cp:lastModifiedBy>
  <dcterms:created xsi:type="dcterms:W3CDTF">2015-06-05T18:17:20Z</dcterms:created>
  <dcterms:modified xsi:type="dcterms:W3CDTF">2026-09-30T10:03:42Z</dcterms:modified>
</cp:coreProperties>
</file>