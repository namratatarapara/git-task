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Namrata\Desktop\Internship task\Excel\"/>
    </mc:Choice>
  </mc:AlternateContent>
  <xr:revisionPtr revIDLastSave="0" documentId="13_ncr:1_{EB691376-54A1-4AA5-9CA5-6FB9CB3C02B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ales Data" sheetId="1" r:id="rId1"/>
    <sheet name="Customer Segmenta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6" i="2" l="1"/>
  <c r="E76" i="2" s="1"/>
  <c r="F76" i="2" s="1"/>
  <c r="D75" i="2"/>
  <c r="E75" i="2" s="1"/>
  <c r="F75" i="2" s="1"/>
  <c r="D74" i="2"/>
  <c r="E74" i="2" s="1"/>
  <c r="F74" i="2" s="1"/>
  <c r="D73" i="2"/>
  <c r="E73" i="2" s="1"/>
  <c r="F73" i="2" s="1"/>
  <c r="D72" i="2"/>
  <c r="E72" i="2" s="1"/>
  <c r="F72" i="2" s="1"/>
  <c r="D71" i="2"/>
  <c r="E71" i="2" s="1"/>
  <c r="F71" i="2" s="1"/>
  <c r="D70" i="2"/>
  <c r="E70" i="2" s="1"/>
  <c r="F70" i="2" s="1"/>
  <c r="D69" i="2"/>
  <c r="E69" i="2" s="1"/>
  <c r="F69" i="2" s="1"/>
  <c r="D68" i="2"/>
  <c r="E68" i="2" s="1"/>
  <c r="F68" i="2" s="1"/>
  <c r="D67" i="2"/>
  <c r="E67" i="2" s="1"/>
  <c r="F67" i="2" s="1"/>
  <c r="D66" i="2"/>
  <c r="E66" i="2" s="1"/>
  <c r="F66" i="2" s="1"/>
  <c r="D65" i="2"/>
  <c r="E65" i="2" s="1"/>
  <c r="F65" i="2" s="1"/>
  <c r="D64" i="2"/>
  <c r="E64" i="2" s="1"/>
  <c r="F64" i="2" s="1"/>
  <c r="D63" i="2"/>
  <c r="E63" i="2" s="1"/>
  <c r="F63" i="2" s="1"/>
  <c r="D62" i="2"/>
  <c r="E62" i="2" s="1"/>
  <c r="F62" i="2" s="1"/>
  <c r="D61" i="2"/>
  <c r="E61" i="2" s="1"/>
  <c r="F61" i="2" s="1"/>
  <c r="D60" i="2"/>
  <c r="E60" i="2" s="1"/>
  <c r="F60" i="2" s="1"/>
  <c r="D59" i="2"/>
  <c r="E59" i="2" s="1"/>
  <c r="F59" i="2" s="1"/>
  <c r="D58" i="2"/>
  <c r="E58" i="2" s="1"/>
  <c r="D57" i="2"/>
  <c r="E57" i="2" s="1"/>
  <c r="F57" i="2" s="1"/>
  <c r="D56" i="2"/>
  <c r="E56" i="2" s="1"/>
  <c r="F56" i="2" s="1"/>
  <c r="D55" i="2"/>
  <c r="E55" i="2" s="1"/>
  <c r="F55" i="2" s="1"/>
  <c r="D54" i="2"/>
  <c r="E54" i="2" s="1"/>
  <c r="F54" i="2" s="1"/>
  <c r="D53" i="2"/>
  <c r="E53" i="2" s="1"/>
  <c r="F53" i="2" s="1"/>
  <c r="D52" i="2"/>
  <c r="E52" i="2" s="1"/>
  <c r="F52" i="2" s="1"/>
  <c r="D51" i="2"/>
  <c r="E51" i="2" s="1"/>
  <c r="F51" i="2" s="1"/>
  <c r="D50" i="2"/>
  <c r="E50" i="2" s="1"/>
  <c r="F50" i="2" s="1"/>
  <c r="D49" i="2"/>
  <c r="E49" i="2" s="1"/>
  <c r="F49" i="2" s="1"/>
  <c r="D48" i="2"/>
  <c r="E48" i="2" s="1"/>
  <c r="F48" i="2" s="1"/>
  <c r="D47" i="2"/>
  <c r="E47" i="2" s="1"/>
  <c r="F47" i="2" s="1"/>
  <c r="D46" i="2"/>
  <c r="E46" i="2" s="1"/>
  <c r="F46" i="2" s="1"/>
  <c r="D45" i="2"/>
  <c r="E45" i="2" s="1"/>
  <c r="F45" i="2" s="1"/>
  <c r="D44" i="2"/>
  <c r="E44" i="2" s="1"/>
  <c r="F44" i="2" s="1"/>
  <c r="D43" i="2"/>
  <c r="E43" i="2" s="1"/>
  <c r="F43" i="2" s="1"/>
  <c r="D42" i="2"/>
  <c r="E42" i="2" s="1"/>
  <c r="F42" i="2" s="1"/>
  <c r="D41" i="2"/>
  <c r="E41" i="2" s="1"/>
  <c r="F41" i="2" s="1"/>
  <c r="D40" i="2"/>
  <c r="E40" i="2" s="1"/>
  <c r="F40" i="2" s="1"/>
  <c r="D39" i="2"/>
  <c r="E39" i="2" s="1"/>
  <c r="F39" i="2" s="1"/>
  <c r="D38" i="2"/>
  <c r="E38" i="2" s="1"/>
  <c r="F38" i="2" s="1"/>
  <c r="D37" i="2"/>
  <c r="E37" i="2" s="1"/>
  <c r="F37" i="2" s="1"/>
  <c r="D36" i="2"/>
  <c r="E36" i="2" s="1"/>
  <c r="F36" i="2" s="1"/>
  <c r="D35" i="2"/>
  <c r="E35" i="2" s="1"/>
  <c r="F35" i="2" s="1"/>
  <c r="D34" i="2"/>
  <c r="E34" i="2" s="1"/>
  <c r="F34" i="2" s="1"/>
  <c r="D33" i="2"/>
  <c r="E33" i="2" s="1"/>
  <c r="F33" i="2" s="1"/>
  <c r="D32" i="2"/>
  <c r="E32" i="2" s="1"/>
  <c r="F32" i="2" s="1"/>
  <c r="D31" i="2"/>
  <c r="E31" i="2" s="1"/>
  <c r="F31" i="2" s="1"/>
  <c r="D30" i="2"/>
  <c r="E30" i="2" s="1"/>
  <c r="F30" i="2" s="1"/>
  <c r="D29" i="2"/>
  <c r="E29" i="2" s="1"/>
  <c r="F29" i="2" s="1"/>
  <c r="D28" i="2"/>
  <c r="E28" i="2" s="1"/>
  <c r="F28" i="2" s="1"/>
  <c r="D27" i="2"/>
  <c r="E27" i="2" s="1"/>
  <c r="F27" i="2" s="1"/>
  <c r="D26" i="2"/>
  <c r="E26" i="2" s="1"/>
  <c r="F26" i="2" s="1"/>
  <c r="D25" i="2"/>
  <c r="E25" i="2" s="1"/>
  <c r="F25" i="2" s="1"/>
  <c r="D24" i="2"/>
  <c r="E24" i="2" s="1"/>
  <c r="F24" i="2" s="1"/>
  <c r="D23" i="2"/>
  <c r="E23" i="2" s="1"/>
  <c r="F23" i="2" s="1"/>
  <c r="D22" i="2"/>
  <c r="E22" i="2" s="1"/>
  <c r="F22" i="2" s="1"/>
  <c r="D21" i="2"/>
  <c r="E21" i="2" s="1"/>
  <c r="F21" i="2" s="1"/>
  <c r="D20" i="2"/>
  <c r="E20" i="2" s="1"/>
  <c r="F20" i="2" s="1"/>
  <c r="D19" i="2"/>
  <c r="E19" i="2" s="1"/>
  <c r="F19" i="2" s="1"/>
  <c r="D18" i="2"/>
  <c r="E18" i="2" s="1"/>
  <c r="F18" i="2" s="1"/>
  <c r="D17" i="2"/>
  <c r="E17" i="2" s="1"/>
  <c r="F17" i="2" s="1"/>
  <c r="D16" i="2"/>
  <c r="E16" i="2" s="1"/>
  <c r="F16" i="2" s="1"/>
  <c r="D15" i="2"/>
  <c r="E15" i="2" s="1"/>
  <c r="F15" i="2" s="1"/>
  <c r="D14" i="2"/>
  <c r="E14" i="2" s="1"/>
  <c r="F14" i="2" s="1"/>
  <c r="D13" i="2"/>
  <c r="E13" i="2" s="1"/>
  <c r="F13" i="2" s="1"/>
  <c r="D12" i="2"/>
  <c r="E12" i="2" s="1"/>
  <c r="F12" i="2" s="1"/>
  <c r="D11" i="2"/>
  <c r="E11" i="2" s="1"/>
  <c r="F11" i="2" s="1"/>
  <c r="D10" i="2"/>
  <c r="E10" i="2" s="1"/>
  <c r="F10" i="2" s="1"/>
  <c r="D9" i="2"/>
  <c r="E9" i="2" s="1"/>
  <c r="F9" i="2" s="1"/>
  <c r="D8" i="2"/>
  <c r="E8" i="2" s="1"/>
  <c r="F8" i="2" s="1"/>
  <c r="D7" i="2"/>
  <c r="E7" i="2" s="1"/>
  <c r="F7" i="2" s="1"/>
  <c r="D6" i="2"/>
  <c r="E6" i="2" s="1"/>
  <c r="F6" i="2" s="1"/>
  <c r="D4" i="2"/>
  <c r="E4" i="2" s="1"/>
  <c r="F4" i="2" s="1"/>
  <c r="D5" i="2"/>
  <c r="E5" i="2" s="1"/>
  <c r="F5" i="2" s="1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B76" i="2"/>
  <c r="B75" i="2"/>
  <c r="B74" i="2"/>
  <c r="B73" i="2"/>
  <c r="B72" i="2"/>
  <c r="B70" i="2"/>
  <c r="B69" i="2"/>
  <c r="B68" i="2"/>
  <c r="B67" i="2"/>
  <c r="B66" i="2"/>
  <c r="B65" i="2"/>
  <c r="B64" i="2"/>
  <c r="B63" i="2"/>
  <c r="B71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F58" i="2" l="1"/>
  <c r="I11" i="2" l="1"/>
  <c r="I10" i="2"/>
  <c r="I9" i="2"/>
  <c r="I7" i="2"/>
  <c r="I8" i="2"/>
</calcChain>
</file>

<file path=xl/sharedStrings.xml><?xml version="1.0" encoding="utf-8"?>
<sst xmlns="http://schemas.openxmlformats.org/spreadsheetml/2006/main" count="1852" uniqueCount="384">
  <si>
    <t>ORD-1083</t>
  </si>
  <si>
    <t>Mansi Patel</t>
  </si>
  <si>
    <t>Headphones</t>
  </si>
  <si>
    <t>Electronics</t>
  </si>
  <si>
    <t>East</t>
  </si>
  <si>
    <t>Kabir</t>
  </si>
  <si>
    <t>Jan</t>
  </si>
  <si>
    <t>ORD-1238</t>
  </si>
  <si>
    <t>Chirag Mehta</t>
  </si>
  <si>
    <t>Monitor</t>
  </si>
  <si>
    <t>Riya</t>
  </si>
  <si>
    <t>ORD-1198</t>
  </si>
  <si>
    <t>Rohan Desai</t>
  </si>
  <si>
    <t>Office Chair</t>
  </si>
  <si>
    <t>Furniture</t>
  </si>
  <si>
    <t>West</t>
  </si>
  <si>
    <t>Aarav</t>
  </si>
  <si>
    <t>ORD-1206</t>
  </si>
  <si>
    <t>Anjali Desai</t>
  </si>
  <si>
    <t>Diya</t>
  </si>
  <si>
    <t>ORD-1079</t>
  </si>
  <si>
    <t>Nirav Desai</t>
  </si>
  <si>
    <t>ORD-1159</t>
  </si>
  <si>
    <t>Vivek Shah</t>
  </si>
  <si>
    <t>Laptop</t>
  </si>
  <si>
    <t>North</t>
  </si>
  <si>
    <t>ORD-1154</t>
  </si>
  <si>
    <t>Vishal Mehta</t>
  </si>
  <si>
    <t>Keyboard</t>
  </si>
  <si>
    <t>Accessories</t>
  </si>
  <si>
    <t>ORD-1128</t>
  </si>
  <si>
    <t>Aditi Joshi</t>
  </si>
  <si>
    <t>Printer</t>
  </si>
  <si>
    <t>Meera</t>
  </si>
  <si>
    <t>ORD-1122</t>
  </si>
  <si>
    <t>Hardik Patel</t>
  </si>
  <si>
    <t>ORD-1118</t>
  </si>
  <si>
    <t>ORD-1181</t>
  </si>
  <si>
    <t>Arjun Mehta</t>
  </si>
  <si>
    <t>Arjun</t>
  </si>
  <si>
    <t>ORD-1201</t>
  </si>
  <si>
    <t>Raj Desai</t>
  </si>
  <si>
    <t>ORD-1143</t>
  </si>
  <si>
    <t>Jay Joshi</t>
  </si>
  <si>
    <t>South</t>
  </si>
  <si>
    <t>ORD-1055</t>
  </si>
  <si>
    <t>Kavya Patel</t>
  </si>
  <si>
    <t>Smartphone</t>
  </si>
  <si>
    <t>ORD-1173</t>
  </si>
  <si>
    <t>Tushar Patel</t>
  </si>
  <si>
    <t>Mouse</t>
  </si>
  <si>
    <t>ORD-1216</t>
  </si>
  <si>
    <t>Jinal Desai</t>
  </si>
  <si>
    <t>ORD-1031</t>
  </si>
  <si>
    <t>Pooja Mehta</t>
  </si>
  <si>
    <t>ORD-1220</t>
  </si>
  <si>
    <t>Yug Desai</t>
  </si>
  <si>
    <t>ORD-1028</t>
  </si>
  <si>
    <t>Kunal Mehta</t>
  </si>
  <si>
    <t>ORD-1227</t>
  </si>
  <si>
    <t>Bhavya Shah</t>
  </si>
  <si>
    <t>ORD-1082</t>
  </si>
  <si>
    <t>Smit Mehta</t>
  </si>
  <si>
    <t>Backpack</t>
  </si>
  <si>
    <t>ORD-1167</t>
  </si>
  <si>
    <t>Neha Shah</t>
  </si>
  <si>
    <t>ORD-1196</t>
  </si>
  <si>
    <t>Vidhi Shah</t>
  </si>
  <si>
    <t>Feb</t>
  </si>
  <si>
    <t>ORD-1169</t>
  </si>
  <si>
    <t>Aaradhya Joshi</t>
  </si>
  <si>
    <t>ORD-1123</t>
  </si>
  <si>
    <t>Ankit Mehta</t>
  </si>
  <si>
    <t>ORD-1225</t>
  </si>
  <si>
    <t>Manav Patel</t>
  </si>
  <si>
    <t>ORD-1162</t>
  </si>
  <si>
    <t>Riya Mehta</t>
  </si>
  <si>
    <t>ORD-1184</t>
  </si>
  <si>
    <t>ORD-1246</t>
  </si>
  <si>
    <t>Isha Joshi</t>
  </si>
  <si>
    <t>ORD-1125</t>
  </si>
  <si>
    <t>Nikhil Joshi</t>
  </si>
  <si>
    <t>ORD-1089</t>
  </si>
  <si>
    <t>ORD-1194</t>
  </si>
  <si>
    <t>Khushi Mehta</t>
  </si>
  <si>
    <t>ORD-1218</t>
  </si>
  <si>
    <t>Nandini Shah</t>
  </si>
  <si>
    <t>ORD-1006</t>
  </si>
  <si>
    <t>ORD-1235</t>
  </si>
  <si>
    <t>Darsh Shah</t>
  </si>
  <si>
    <t>ORD-1204</t>
  </si>
  <si>
    <t>Nisha Joshi</t>
  </si>
  <si>
    <t>ORD-1213</t>
  </si>
  <si>
    <t>Abhishek Mehta</t>
  </si>
  <si>
    <t>ORD-1185</t>
  </si>
  <si>
    <t>Akash Patel</t>
  </si>
  <si>
    <t>ORD-1088</t>
  </si>
  <si>
    <t>ORD-1209</t>
  </si>
  <si>
    <t>ORD-1241</t>
  </si>
  <si>
    <t>Meet Desai</t>
  </si>
  <si>
    <t>Desk</t>
  </si>
  <si>
    <t>ORD-1152</t>
  </si>
  <si>
    <t>ORD-1205</t>
  </si>
  <si>
    <t>Karan Desai</t>
  </si>
  <si>
    <t>ORD-1160</t>
  </si>
  <si>
    <t>Jatin Desai</t>
  </si>
  <si>
    <t>ORD-1073</t>
  </si>
  <si>
    <t>ORD-1048</t>
  </si>
  <si>
    <t>ORD-1067</t>
  </si>
  <si>
    <t>Darshil Desai</t>
  </si>
  <si>
    <t>ORD-1049</t>
  </si>
  <si>
    <t>Meera Shah</t>
  </si>
  <si>
    <t>Mar</t>
  </si>
  <si>
    <t>ORD-1042</t>
  </si>
  <si>
    <t>ORD-1228</t>
  </si>
  <si>
    <t>Rahul Mehta</t>
  </si>
  <si>
    <t>ORD-1136</t>
  </si>
  <si>
    <t>ORD-1035</t>
  </si>
  <si>
    <t>Komal Shah</t>
  </si>
  <si>
    <t>ORD-1187</t>
  </si>
  <si>
    <t>ORD-1121</t>
  </si>
  <si>
    <t>Maulik Patel</t>
  </si>
  <si>
    <t>ORD-1207</t>
  </si>
  <si>
    <t>ORD-1063</t>
  </si>
  <si>
    <t>Riddhi Mehta</t>
  </si>
  <si>
    <t>ORD-1188</t>
  </si>
  <si>
    <t>ORD-1126</t>
  </si>
  <si>
    <t>Palak Joshi</t>
  </si>
  <si>
    <t>ORD-1023</t>
  </si>
  <si>
    <t>ORD-1009</t>
  </si>
  <si>
    <t>Heena Joshi</t>
  </si>
  <si>
    <t>ORD-1171</t>
  </si>
  <si>
    <t>ORD-1091</t>
  </si>
  <si>
    <t>ORD-1129</t>
  </si>
  <si>
    <t>ORD-1193</t>
  </si>
  <si>
    <t>ORD-1094</t>
  </si>
  <si>
    <t>Bhavin Desai</t>
  </si>
  <si>
    <t>ORD-1013</t>
  </si>
  <si>
    <t>Krupa Shah</t>
  </si>
  <si>
    <t>ORD-1248</t>
  </si>
  <si>
    <t>Ronak Patel</t>
  </si>
  <si>
    <t>ORD-1138</t>
  </si>
  <si>
    <t>ORD-1050</t>
  </si>
  <si>
    <t>Aarav Patel</t>
  </si>
  <si>
    <t>ORD-1230</t>
  </si>
  <si>
    <t>ORD-1190</t>
  </si>
  <si>
    <t>ORD-1014</t>
  </si>
  <si>
    <t>ORD-1065</t>
  </si>
  <si>
    <t>Apr</t>
  </si>
  <si>
    <t>ORD-1103</t>
  </si>
  <si>
    <t>ORD-1113</t>
  </si>
  <si>
    <t>ORD-1183</t>
  </si>
  <si>
    <t>ORD-1112</t>
  </si>
  <si>
    <t>ORD-1096</t>
  </si>
  <si>
    <t>Yash Shah</t>
  </si>
  <si>
    <t>ORD-1077</t>
  </si>
  <si>
    <t>ORD-1165</t>
  </si>
  <si>
    <t>ORD-1144</t>
  </si>
  <si>
    <t>Rupal Joshi</t>
  </si>
  <si>
    <t>ORD-1203</t>
  </si>
  <si>
    <t>ORD-1015</t>
  </si>
  <si>
    <t>ORD-1066</t>
  </si>
  <si>
    <t>Krish Joshi</t>
  </si>
  <si>
    <t>ORD-1075</t>
  </si>
  <si>
    <t>ORD-1010</t>
  </si>
  <si>
    <t>Vatsal Desai</t>
  </si>
  <si>
    <t>ORD-1056</t>
  </si>
  <si>
    <t>ORD-1221</t>
  </si>
  <si>
    <t>ORD-1040</t>
  </si>
  <si>
    <t>ORD-1102</t>
  </si>
  <si>
    <t>ORD-1045</t>
  </si>
  <si>
    <t>ORD-1022</t>
  </si>
  <si>
    <t>Sneha Shah</t>
  </si>
  <si>
    <t>ORD-1027</t>
  </si>
  <si>
    <t>Amit Patel</t>
  </si>
  <si>
    <t>ORD-1069</t>
  </si>
  <si>
    <t>Mitali Shah</t>
  </si>
  <si>
    <t>ORD-1114</t>
  </si>
  <si>
    <t>ORD-1064</t>
  </si>
  <si>
    <t>ORD-1180</t>
  </si>
  <si>
    <t>ORD-1087</t>
  </si>
  <si>
    <t>Varun Patel</t>
  </si>
  <si>
    <t>ORD-1148</t>
  </si>
  <si>
    <t>ORD-1062</t>
  </si>
  <si>
    <t>ORD-1175</t>
  </si>
  <si>
    <t>ORD-1008</t>
  </si>
  <si>
    <t>ORD-1017</t>
  </si>
  <si>
    <t>ORD-1229</t>
  </si>
  <si>
    <t>May</t>
  </si>
  <si>
    <t>ORD-1060</t>
  </si>
  <si>
    <t>Vraj Desai</t>
  </si>
  <si>
    <t>ORD-1250</t>
  </si>
  <si>
    <t>ORD-1021</t>
  </si>
  <si>
    <t>ORD-1219</t>
  </si>
  <si>
    <t>ORD-1240</t>
  </si>
  <si>
    <t>ORD-1151</t>
  </si>
  <si>
    <t>ORD-1004</t>
  </si>
  <si>
    <t>Parth Joshi</t>
  </si>
  <si>
    <t>ORD-1046</t>
  </si>
  <si>
    <t>Diya Patel</t>
  </si>
  <si>
    <t>ORD-1223</t>
  </si>
  <si>
    <t>ORD-1095</t>
  </si>
  <si>
    <t>Shreya Joshi</t>
  </si>
  <si>
    <t>ORD-1164</t>
  </si>
  <si>
    <t>ORD-1236</t>
  </si>
  <si>
    <t>ORD-1020</t>
  </si>
  <si>
    <t>ORD-1147</t>
  </si>
  <si>
    <t>ORD-1249</t>
  </si>
  <si>
    <t>Mihir Patel</t>
  </si>
  <si>
    <t>ORD-1090</t>
  </si>
  <si>
    <t>ORD-1200</t>
  </si>
  <si>
    <t>ORD-1007</t>
  </si>
  <si>
    <t>ORD-1208</t>
  </si>
  <si>
    <t>ORD-1232</t>
  </si>
  <si>
    <t>ORD-1179</t>
  </si>
  <si>
    <t>ORD-1140</t>
  </si>
  <si>
    <t>ORD-1018</t>
  </si>
  <si>
    <t>Hetal Shah</t>
  </si>
  <si>
    <t>ORD-1130</t>
  </si>
  <si>
    <t>Priya Joshi</t>
  </si>
  <si>
    <t>ORD-1139</t>
  </si>
  <si>
    <t>Jaydeep Mehta</t>
  </si>
  <si>
    <t>ORD-1097</t>
  </si>
  <si>
    <t>ORD-1071</t>
  </si>
  <si>
    <t>ORD-1119</t>
  </si>
  <si>
    <t>ORD-1109</t>
  </si>
  <si>
    <t>ORD-1078</t>
  </si>
  <si>
    <t>Jun</t>
  </si>
  <si>
    <t>ORD-1093</t>
  </si>
  <si>
    <t>ORD-1202</t>
  </si>
  <si>
    <t>ORD-1170</t>
  </si>
  <si>
    <t>ORD-1081</t>
  </si>
  <si>
    <t>ORD-1001</t>
  </si>
  <si>
    <t>ORD-1047</t>
  </si>
  <si>
    <t>ORD-1226</t>
  </si>
  <si>
    <t>ORD-1132</t>
  </si>
  <si>
    <t>ORD-1120</t>
  </si>
  <si>
    <t>ORD-1016</t>
  </si>
  <si>
    <t>ORD-1026</t>
  </si>
  <si>
    <t>ORD-1192</t>
  </si>
  <si>
    <t>ORD-1059</t>
  </si>
  <si>
    <t>ORD-1234</t>
  </si>
  <si>
    <t>ORD-1115</t>
  </si>
  <si>
    <t>ORD-1086</t>
  </si>
  <si>
    <t>ORD-1215</t>
  </si>
  <si>
    <t>ORD-1158</t>
  </si>
  <si>
    <t>ORD-1149</t>
  </si>
  <si>
    <t>ORD-1108</t>
  </si>
  <si>
    <t>ORD-1214</t>
  </si>
  <si>
    <t>ORD-1070</t>
  </si>
  <si>
    <t>ORD-1043</t>
  </si>
  <si>
    <t>Het Desai</t>
  </si>
  <si>
    <t>ORD-1133</t>
  </si>
  <si>
    <t>ORD-1124</t>
  </si>
  <si>
    <t>ORD-1024</t>
  </si>
  <si>
    <t>ORD-1155</t>
  </si>
  <si>
    <t>ORD-1145</t>
  </si>
  <si>
    <t>ORD-1041</t>
  </si>
  <si>
    <t>ORD-1224</t>
  </si>
  <si>
    <t>ORD-1237</t>
  </si>
  <si>
    <t>Simran Joshi</t>
  </si>
  <si>
    <t>ORD-1191</t>
  </si>
  <si>
    <t>ORD-1116</t>
  </si>
  <si>
    <t>ORD-1058</t>
  </si>
  <si>
    <t>ORD-1239</t>
  </si>
  <si>
    <t>ORD-1038</t>
  </si>
  <si>
    <t>Jul</t>
  </si>
  <si>
    <t>ORD-1168</t>
  </si>
  <si>
    <t>ORD-1051</t>
  </si>
  <si>
    <t>ORD-1189</t>
  </si>
  <si>
    <t>ORD-1052</t>
  </si>
  <si>
    <t>Sahil Mehta</t>
  </si>
  <si>
    <t>ORD-1074</t>
  </si>
  <si>
    <t>ORD-1233</t>
  </si>
  <si>
    <t>ORD-1150</t>
  </si>
  <si>
    <t>ORD-1080</t>
  </si>
  <si>
    <t>ORD-1030</t>
  </si>
  <si>
    <t>ORD-1029</t>
  </si>
  <si>
    <t>ORD-1153</t>
  </si>
  <si>
    <t>ORD-1242</t>
  </si>
  <si>
    <t>ORD-1172</t>
  </si>
  <si>
    <t>ORD-1104</t>
  </si>
  <si>
    <t>ORD-1212</t>
  </si>
  <si>
    <t>ORD-1243</t>
  </si>
  <si>
    <t>Aarohi Desai</t>
  </si>
  <si>
    <t>ORD-1110</t>
  </si>
  <si>
    <t>ORD-1106</t>
  </si>
  <si>
    <t>ORD-1085</t>
  </si>
  <si>
    <t>Manish Mehta</t>
  </si>
  <si>
    <t>ORD-1247</t>
  </si>
  <si>
    <t>ORD-1057</t>
  </si>
  <si>
    <t>ORD-1044</t>
  </si>
  <si>
    <t>Ayesha Patel</t>
  </si>
  <si>
    <t>ORD-1036</t>
  </si>
  <si>
    <t>Kinjal Joshi</t>
  </si>
  <si>
    <t>ORD-1039</t>
  </si>
  <si>
    <t>ORD-1011</t>
  </si>
  <si>
    <t>ORD-1019</t>
  </si>
  <si>
    <t>ORD-1117</t>
  </si>
  <si>
    <t>ORD-1157</t>
  </si>
  <si>
    <t>ORD-1176</t>
  </si>
  <si>
    <t>ORD-1092</t>
  </si>
  <si>
    <t>ORD-1053</t>
  </si>
  <si>
    <t>Aug</t>
  </si>
  <si>
    <t>ORD-1182</t>
  </si>
  <si>
    <t>ORD-1072</t>
  </si>
  <si>
    <t>ORD-1174</t>
  </si>
  <si>
    <t>ORD-1101</t>
  </si>
  <si>
    <t>ORD-1141</t>
  </si>
  <si>
    <t>ORD-1111</t>
  </si>
  <si>
    <t>ORD-1100</t>
  </si>
  <si>
    <t>ORD-1177</t>
  </si>
  <si>
    <t>ORD-1186</t>
  </si>
  <si>
    <t>ORD-1231</t>
  </si>
  <si>
    <t>ORD-1142</t>
  </si>
  <si>
    <t>ORD-1107</t>
  </si>
  <si>
    <t>ORD-1195</t>
  </si>
  <si>
    <t>ORD-1163</t>
  </si>
  <si>
    <t>ORD-1105</t>
  </si>
  <si>
    <t>ORD-1033</t>
  </si>
  <si>
    <t>ORD-1156</t>
  </si>
  <si>
    <t>ORD-1131</t>
  </si>
  <si>
    <t>ORD-1244</t>
  </si>
  <si>
    <t>ORD-1098</t>
  </si>
  <si>
    <t>ORD-1054</t>
  </si>
  <si>
    <t>ORD-1146</t>
  </si>
  <si>
    <t>ORD-1076</t>
  </si>
  <si>
    <t>ORD-1178</t>
  </si>
  <si>
    <t>ORD-1025</t>
  </si>
  <si>
    <t>ORD-1003</t>
  </si>
  <si>
    <t>ORD-1161</t>
  </si>
  <si>
    <t>ORD-1245</t>
  </si>
  <si>
    <t>Sep</t>
  </si>
  <si>
    <t>ORD-1137</t>
  </si>
  <si>
    <t>Roshni Shah</t>
  </si>
  <si>
    <t>ORD-1037</t>
  </si>
  <si>
    <t>ORD-1061</t>
  </si>
  <si>
    <t>ORD-1032</t>
  </si>
  <si>
    <t>ORD-1197</t>
  </si>
  <si>
    <t>ORD-1084</t>
  </si>
  <si>
    <t>ORD-1210</t>
  </si>
  <si>
    <t>ORD-1002</t>
  </si>
  <si>
    <t>ORD-1199</t>
  </si>
  <si>
    <t>ORD-1068</t>
  </si>
  <si>
    <t>ORD-1211</t>
  </si>
  <si>
    <t>ORD-1005</t>
  </si>
  <si>
    <t>ORD-1034</t>
  </si>
  <si>
    <t>ORD-1099</t>
  </si>
  <si>
    <t>Dhruv Desai</t>
  </si>
  <si>
    <t>ORD-1166</t>
  </si>
  <si>
    <t>ORD-1135</t>
  </si>
  <si>
    <t>ORD-1217</t>
  </si>
  <si>
    <t>ORD-1222</t>
  </si>
  <si>
    <t>ORD-1127</t>
  </si>
  <si>
    <t>ORD-1012</t>
  </si>
  <si>
    <t>ORD-1134</t>
  </si>
  <si>
    <t>Order ID</t>
  </si>
  <si>
    <t>Order Date</t>
  </si>
  <si>
    <t>Customer Name</t>
  </si>
  <si>
    <t>Product</t>
  </si>
  <si>
    <t>Category</t>
  </si>
  <si>
    <t>Region</t>
  </si>
  <si>
    <t>Quantity</t>
  </si>
  <si>
    <t>List Price</t>
  </si>
  <si>
    <t>Discount</t>
  </si>
  <si>
    <t>Unit Price</t>
  </si>
  <si>
    <t>Sales</t>
  </si>
  <si>
    <t>Cost</t>
  </si>
  <si>
    <t>Profit</t>
  </si>
  <si>
    <t>Salesperson</t>
  </si>
  <si>
    <t>Month</t>
  </si>
  <si>
    <t>Month Number</t>
  </si>
  <si>
    <t>Customer</t>
  </si>
  <si>
    <t>Total Orders</t>
  </si>
  <si>
    <t>Total Spending</t>
  </si>
  <si>
    <t>Last Purchase Date</t>
  </si>
  <si>
    <t>Recency Days</t>
  </si>
  <si>
    <t>Customer Segment</t>
  </si>
  <si>
    <t>Customer Count</t>
  </si>
  <si>
    <t>VIP Customer</t>
  </si>
  <si>
    <t>Loyal Customer</t>
  </si>
  <si>
    <t>Potential Customer</t>
  </si>
  <si>
    <t>At Risk</t>
  </si>
  <si>
    <t>Low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</si>
</sst>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\ AM/PM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</font>
    <font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top"/>
    </xf>
    <xf numFmtId="164" fontId="1" fillId="0" borderId="0" xfId="0" applyNumberFormat="1" applyFont="1"/>
    <xf numFmtId="4" fontId="0" fillId="0" borderId="0" xfId="0" applyNumberFormat="1"/>
    <xf numFmtId="9" fontId="0" fillId="0" borderId="0" xfId="0" applyNumberForma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19"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3" formatCode="0%"/>
    </dxf>
    <dxf>
      <numFmt numFmtId="4" formatCode="#,##0.0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u="none" strike="noStrike" baseline="0"/>
              <a:t>Customer Segmentation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'Customer Segmentation'!$I$6</c:f>
              <c:strCache>
                <c:ptCount val="1"/>
                <c:pt idx="0">
                  <c:v>Customer 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'Customer Segmentation'!$H$7:$H$11</c:f>
              <c:strCache>
                <c:ptCount val="5"/>
                <c:pt idx="0">
                  <c:v>VIP Customer</c:v>
                </c:pt>
                <c:pt idx="1">
                  <c:v>Loyal Customer</c:v>
                </c:pt>
                <c:pt idx="2">
                  <c:v>Potential Customer</c:v>
                </c:pt>
                <c:pt idx="3">
                  <c:v>At Risk</c:v>
                </c:pt>
                <c:pt idx="4">
                  <c:v>Low Value</c:v>
                </c:pt>
              </c:strCache>
            </c:strRef>
          </c:cat>
          <c:val>
            <c:numRef>
              <c:f>'Customer Segmentation'!$I$7:$I$11</c:f>
              <c:numCache>
                <c:formatCode>General</c:formatCode>
                <c:ptCount val="5"/>
                <c:pt idx="0">
                  <c:v>3</c:v>
                </c:pt>
                <c:pt idx="1">
                  <c:v>20</c:v>
                </c:pt>
                <c:pt idx="2">
                  <c:v>17</c:v>
                </c:pt>
                <c:pt idx="3">
                  <c:v>22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C2-4B5A-B5E4-AE826FE81D76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601014</xdr:colOff>
      <xdr:row>13</xdr:row>
      <xdr:rowOff>66541</xdr:rowOff>
    </xdr:from>
    <xdr:to>
      <xdr:col>11</xdr:col>
      <xdr:colOff>64394</xdr:colOff>
      <xdr:row>28</xdr:row>
      <xdr:rowOff>72981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D9C8B0-2DCD-0B39-C3FD-3E66842DDE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F6459E-D606-4790-9628-EA06D2BCADD3}" name="Table2" displayName="Table2" ref="A1:P251" totalsRowShown="0" headerRowDxfId="12" headerRowBorderDxfId="11" tableBorderDxfId="10">
  <autoFilter ref="A1:P251" xr:uid="{62F6459E-D606-4790-9628-EA06D2BCADD3}"/>
  <tableColumns count="16">
    <tableColumn id="1" xr3:uid="{1BAD0964-50EA-4BA6-A3D8-585D6DDE53C4}" name="Order ID"/>
    <tableColumn id="2" xr3:uid="{5F0F1A9F-008C-42DB-93A4-195E462B985C}" name="Order Date"/>
    <tableColumn id="3" xr3:uid="{5C603E34-0586-4FAD-A92B-78274ECCFC9A}" name="Customer Name"/>
    <tableColumn id="4" xr3:uid="{425F35D5-8D9C-4A2E-976D-8ADE15A5DE71}" name="Product"/>
    <tableColumn id="5" xr3:uid="{C2BD2DA4-C83F-49A9-9B3B-6362D698AFB2}" name="Category"/>
    <tableColumn id="6" xr3:uid="{41DDE65B-0068-414F-A914-3ADA905FD7A9}" name="Region"/>
    <tableColumn id="7" xr3:uid="{BAEAEEB7-8FB6-42FD-AA18-11F9E214DDC3}" name="Quantity"/>
    <tableColumn id="8" xr3:uid="{99B139F4-177C-4E66-A3E2-3934BBF9DE88}" name="List Price" dataDxfId="9"/>
    <tableColumn id="9" xr3:uid="{4E8100D8-FB5F-496A-98E9-C5B1123F5E80}" name="Discount" dataDxfId="8"/>
    <tableColumn id="10" xr3:uid="{CEEC7806-0C68-4DC1-8F08-400D49F25930}" name="Unit Price" dataDxfId="7"/>
    <tableColumn id="11" xr3:uid="{7DC2F99B-3346-4753-80D8-5FEC5CBEEE99}" name="Sales" dataDxfId="6"/>
    <tableColumn id="12" xr3:uid="{6DD5668C-9A7E-4316-AC93-5F7F7DF0D970}" name="Cost" dataDxfId="5"/>
    <tableColumn id="13" xr3:uid="{CE8A04D3-BF98-47F2-8881-EFDDC18A32FD}" name="Profit" dataDxfId="4"/>
    <tableColumn id="14" xr3:uid="{598545AB-9F04-4012-87E6-96ADD7D9EEDA}" name="Salesperson"/>
    <tableColumn id="15" xr3:uid="{6037D875-60CD-4779-8994-AFACA371DFB0}" name="Month"/>
    <tableColumn id="16" xr3:uid="{42018191-C101-4A0B-8331-A62E250BD112}" name="Month Numb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49A719A-310C-4ACF-846B-49278518C2D8}" name="Table3" displayName="Table3" ref="A3:F76" totalsRowShown="0" headerRowDxfId="18" dataDxfId="17">
  <autoFilter ref="A3:F76" xr:uid="{949A719A-310C-4ACF-846B-49278518C2D8}"/>
  <tableColumns count="6">
    <tableColumn id="1" xr3:uid="{57F270D0-2CED-43B8-93CD-A29463CD56DA}" name="Customer" dataDxfId="16"/>
    <tableColumn id="2" xr3:uid="{DB9EABCA-2EDF-4829-B113-1D8414E6C0A4}" name="Total Orders" dataDxfId="15">
      <calculatedColumnFormula>COUNTIF('Sales Data'!$C2:$C251,"Mansi Patel")</calculatedColumnFormula>
    </tableColumn>
    <tableColumn id="3" xr3:uid="{2EFE71FC-5B34-4BC9-82E6-3E7D96B70C1F}" name="Total Spending" dataDxfId="14">
      <calculatedColumnFormula>SUMIF('Sales Data'!$C2:$C251,"Mansi Patel",'Sales Data'!$K2:$K251)</calculatedColumnFormula>
    </tableColumn>
    <tableColumn id="4" xr3:uid="{871607D4-F935-48DA-89B4-17E44C8DB90C}" name="Last Purchase Date" dataDxfId="13"/>
    <tableColumn id="5" xr3:uid="{2228E9B4-ACB4-493F-A164-90602CA8BC3F}" name="Recency Days" dataDxfId="3">
      <calculatedColumnFormula>INT(MAX('Sales Data'!$B2:$B251)-D4)</calculatedColumnFormula>
    </tableColumn>
    <tableColumn id="6" xr3:uid="{C5DAD8CD-DFCD-40A6-8B02-DB7F50C71E8B}" name="Customer Segment" dataDxfId="2">
      <calculatedColumnFormula>IF(AND(B4&gt;=5,C4&gt;=200000,E4&lt;=30),"VIP Customer",IF(AND(B4&gt;=3,C4&gt;=100000,E4&lt;=60),"Loyal Customer",IF(AND(B4&gt;=2,C4&gt;=50000,E4&lt;=90),"Potential Customer",IF(E4&gt;90,"At Risk","Low Value"))))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41598F0-E192-4085-B3A3-4A6CAFF06FE7}" name="Table4" displayName="Table4" ref="H6:I11" totalsRowShown="0" headerRowDxfId="1">
  <tableColumns count="2">
    <tableColumn id="1" xr3:uid="{196E4866-53B7-43DF-B2A3-7E52B37FCE6C}" name="Customer Segment"/>
    <tableColumn id="2" xr3:uid="{FCB200E0-2760-4548-A42E-FCFAE6DFC2DD}" name="Customer Count" dataDxfId="0">
      <calculatedColumnFormula>COUNTIF(F4:F76,"VIP Customer")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1"/>
  <sheetViews>
    <sheetView topLeftCell="G1" workbookViewId="0">
      <selection activeCell="C93" sqref="C93"/>
    </sheetView>
  </sheetViews>
  <sheetFormatPr defaultRowHeight="14.4" x14ac:dyDescent="0.3"/>
  <cols>
    <col min="1" max="1" width="19.44140625" customWidth="1"/>
    <col min="2" max="2" width="26.21875" customWidth="1"/>
    <col min="3" max="3" width="24.109375" customWidth="1"/>
    <col min="4" max="4" width="16.21875" customWidth="1"/>
    <col min="5" max="5" width="20.77734375" customWidth="1"/>
    <col min="8" max="8" width="19.21875" customWidth="1"/>
    <col min="9" max="9" width="16.5546875" customWidth="1"/>
    <col min="10" max="10" width="15" customWidth="1"/>
    <col min="11" max="11" width="15.5546875" customWidth="1"/>
    <col min="12" max="12" width="14.109375" customWidth="1"/>
    <col min="13" max="13" width="13.88671875" customWidth="1"/>
    <col min="14" max="14" width="17.33203125" customWidth="1"/>
    <col min="15" max="15" width="11.33203125" customWidth="1"/>
    <col min="16" max="16" width="16.77734375" customWidth="1"/>
  </cols>
  <sheetData>
    <row r="1" spans="1:16" x14ac:dyDescent="0.3">
      <c r="A1" s="1" t="s">
        <v>356</v>
      </c>
      <c r="B1" s="1" t="s">
        <v>357</v>
      </c>
      <c r="C1" s="1" t="s">
        <v>358</v>
      </c>
      <c r="D1" s="1" t="s">
        <v>359</v>
      </c>
      <c r="E1" s="1" t="s">
        <v>360</v>
      </c>
      <c r="F1" s="1" t="s">
        <v>361</v>
      </c>
      <c r="G1" s="1" t="s">
        <v>362</v>
      </c>
      <c r="H1" s="1" t="s">
        <v>363</v>
      </c>
      <c r="I1" s="1" t="s">
        <v>364</v>
      </c>
      <c r="J1" s="1" t="s">
        <v>365</v>
      </c>
      <c r="K1" s="1" t="s">
        <v>366</v>
      </c>
      <c r="L1" s="1" t="s">
        <v>367</v>
      </c>
      <c r="M1" s="1" t="s">
        <v>368</v>
      </c>
      <c r="N1" s="1" t="s">
        <v>369</v>
      </c>
      <c r="O1" s="1" t="s">
        <v>370</v>
      </c>
      <c r="P1" s="1" t="s">
        <v>371</v>
      </c>
    </row>
    <row r="2" spans="1:16" x14ac:dyDescent="0.3">
      <c r="A2" t="s">
        <v>0</v>
      </c>
      <c r="B2" s="2">
        <v>46025.796527777777</v>
      </c>
      <c r="C2" t="s">
        <v>1</v>
      </c>
      <c r="D2" t="s">
        <v>2</v>
      </c>
      <c r="E2" t="s">
        <v>3</v>
      </c>
      <c r="F2" t="s">
        <v>4</v>
      </c>
      <c r="G2">
        <v>5</v>
      </c>
      <c r="H2" s="3">
        <v>3500</v>
      </c>
      <c r="I2" s="4">
        <v>0.05</v>
      </c>
      <c r="J2" s="3">
        <v>3325</v>
      </c>
      <c r="K2" s="3">
        <v>16625</v>
      </c>
      <c r="L2" s="3">
        <v>13379.28</v>
      </c>
      <c r="M2" s="3">
        <v>3245.72</v>
      </c>
      <c r="N2" t="s">
        <v>5</v>
      </c>
      <c r="O2" t="s">
        <v>6</v>
      </c>
      <c r="P2">
        <v>1</v>
      </c>
    </row>
    <row r="3" spans="1:16" x14ac:dyDescent="0.3">
      <c r="A3" t="s">
        <v>7</v>
      </c>
      <c r="B3" s="2">
        <v>46025.604166666664</v>
      </c>
      <c r="C3" t="s">
        <v>8</v>
      </c>
      <c r="D3" t="s">
        <v>9</v>
      </c>
      <c r="E3" t="s">
        <v>3</v>
      </c>
      <c r="F3" t="s">
        <v>4</v>
      </c>
      <c r="G3">
        <v>2</v>
      </c>
      <c r="H3" s="3">
        <v>15000</v>
      </c>
      <c r="I3" s="4">
        <v>0.1</v>
      </c>
      <c r="J3" s="3">
        <v>13500</v>
      </c>
      <c r="K3" s="3">
        <v>27000</v>
      </c>
      <c r="L3" s="3">
        <v>20203.96</v>
      </c>
      <c r="M3" s="3">
        <v>6796.04</v>
      </c>
      <c r="N3" t="s">
        <v>10</v>
      </c>
      <c r="O3" t="s">
        <v>6</v>
      </c>
      <c r="P3">
        <v>1</v>
      </c>
    </row>
    <row r="4" spans="1:16" x14ac:dyDescent="0.3">
      <c r="A4" t="s">
        <v>11</v>
      </c>
      <c r="B4" s="2">
        <v>46027.509027777778</v>
      </c>
      <c r="C4" t="s">
        <v>12</v>
      </c>
      <c r="D4" t="s">
        <v>13</v>
      </c>
      <c r="E4" t="s">
        <v>14</v>
      </c>
      <c r="F4" t="s">
        <v>15</v>
      </c>
      <c r="G4">
        <v>2</v>
      </c>
      <c r="H4" s="3">
        <v>8500</v>
      </c>
      <c r="I4" s="4">
        <v>0.1</v>
      </c>
      <c r="J4" s="3">
        <v>7650</v>
      </c>
      <c r="K4" s="3">
        <v>15300</v>
      </c>
      <c r="L4" s="3">
        <v>10919.3</v>
      </c>
      <c r="M4" s="3">
        <v>4380.7</v>
      </c>
      <c r="N4" t="s">
        <v>16</v>
      </c>
      <c r="O4" t="s">
        <v>6</v>
      </c>
      <c r="P4">
        <v>1</v>
      </c>
    </row>
    <row r="5" spans="1:16" x14ac:dyDescent="0.3">
      <c r="A5" t="s">
        <v>17</v>
      </c>
      <c r="B5" s="2">
        <v>46031.500694444447</v>
      </c>
      <c r="C5" t="s">
        <v>18</v>
      </c>
      <c r="D5" t="s">
        <v>2</v>
      </c>
      <c r="E5" t="s">
        <v>3</v>
      </c>
      <c r="F5" t="s">
        <v>15</v>
      </c>
      <c r="G5">
        <v>3</v>
      </c>
      <c r="H5" s="3">
        <v>3500</v>
      </c>
      <c r="I5" s="4">
        <v>0.05</v>
      </c>
      <c r="J5" s="3">
        <v>3325</v>
      </c>
      <c r="K5" s="3">
        <v>9975</v>
      </c>
      <c r="L5" s="3">
        <v>6668.05</v>
      </c>
      <c r="M5" s="3">
        <v>3306.95</v>
      </c>
      <c r="N5" t="s">
        <v>19</v>
      </c>
      <c r="O5" t="s">
        <v>6</v>
      </c>
      <c r="P5">
        <v>1</v>
      </c>
    </row>
    <row r="6" spans="1:16" x14ac:dyDescent="0.3">
      <c r="A6" t="s">
        <v>20</v>
      </c>
      <c r="B6" s="2">
        <v>46032.779166666667</v>
      </c>
      <c r="C6" t="s">
        <v>21</v>
      </c>
      <c r="D6" t="s">
        <v>9</v>
      </c>
      <c r="E6" t="s">
        <v>3</v>
      </c>
      <c r="F6" t="s">
        <v>4</v>
      </c>
      <c r="G6">
        <v>5</v>
      </c>
      <c r="H6" s="3">
        <v>15000</v>
      </c>
      <c r="I6" s="4">
        <v>0.1</v>
      </c>
      <c r="J6" s="3">
        <v>13500</v>
      </c>
      <c r="K6" s="3">
        <v>67500</v>
      </c>
      <c r="L6" s="3">
        <v>53215.05</v>
      </c>
      <c r="M6" s="3">
        <v>14284.95</v>
      </c>
      <c r="N6" t="s">
        <v>5</v>
      </c>
      <c r="O6" t="s">
        <v>6</v>
      </c>
      <c r="P6">
        <v>1</v>
      </c>
    </row>
    <row r="7" spans="1:16" x14ac:dyDescent="0.3">
      <c r="A7" t="s">
        <v>22</v>
      </c>
      <c r="B7" s="2">
        <v>46033.513194444444</v>
      </c>
      <c r="C7" t="s">
        <v>23</v>
      </c>
      <c r="D7" t="s">
        <v>24</v>
      </c>
      <c r="E7" t="s">
        <v>3</v>
      </c>
      <c r="F7" t="s">
        <v>25</v>
      </c>
      <c r="G7">
        <v>4</v>
      </c>
      <c r="H7" s="3">
        <v>55000</v>
      </c>
      <c r="I7" s="4">
        <v>0.1</v>
      </c>
      <c r="J7" s="3">
        <v>49500</v>
      </c>
      <c r="K7" s="3">
        <v>198000</v>
      </c>
      <c r="L7" s="3">
        <v>125651.85</v>
      </c>
      <c r="M7" s="3">
        <v>72348.149999999994</v>
      </c>
      <c r="N7" t="s">
        <v>5</v>
      </c>
      <c r="O7" t="s">
        <v>6</v>
      </c>
      <c r="P7">
        <v>1</v>
      </c>
    </row>
    <row r="8" spans="1:16" x14ac:dyDescent="0.3">
      <c r="A8" t="s">
        <v>26</v>
      </c>
      <c r="B8" s="2">
        <v>46036.633333333331</v>
      </c>
      <c r="C8" t="s">
        <v>27</v>
      </c>
      <c r="D8" t="s">
        <v>28</v>
      </c>
      <c r="E8" t="s">
        <v>29</v>
      </c>
      <c r="F8" t="s">
        <v>4</v>
      </c>
      <c r="G8">
        <v>4</v>
      </c>
      <c r="H8" s="3">
        <v>2200</v>
      </c>
      <c r="I8" s="4">
        <v>0</v>
      </c>
      <c r="J8" s="3">
        <v>2200</v>
      </c>
      <c r="K8" s="3">
        <v>8800</v>
      </c>
      <c r="L8" s="3">
        <v>6999.67</v>
      </c>
      <c r="M8" s="3">
        <v>1800.33</v>
      </c>
      <c r="N8" t="s">
        <v>5</v>
      </c>
      <c r="O8" t="s">
        <v>6</v>
      </c>
      <c r="P8">
        <v>1</v>
      </c>
    </row>
    <row r="9" spans="1:16" x14ac:dyDescent="0.3">
      <c r="A9" t="s">
        <v>30</v>
      </c>
      <c r="B9" s="2">
        <v>46038.526388888888</v>
      </c>
      <c r="C9" t="s">
        <v>31</v>
      </c>
      <c r="D9" t="s">
        <v>32</v>
      </c>
      <c r="E9" t="s">
        <v>3</v>
      </c>
      <c r="F9" t="s">
        <v>15</v>
      </c>
      <c r="G9">
        <v>4</v>
      </c>
      <c r="H9" s="3">
        <v>11000</v>
      </c>
      <c r="I9" s="4">
        <v>0</v>
      </c>
      <c r="J9" s="3">
        <v>11000</v>
      </c>
      <c r="K9" s="3">
        <v>44000</v>
      </c>
      <c r="L9" s="3">
        <v>28778.61</v>
      </c>
      <c r="M9" s="3">
        <v>15221.39</v>
      </c>
      <c r="N9" t="s">
        <v>33</v>
      </c>
      <c r="O9" t="s">
        <v>6</v>
      </c>
      <c r="P9">
        <v>1</v>
      </c>
    </row>
    <row r="10" spans="1:16" x14ac:dyDescent="0.3">
      <c r="A10" t="s">
        <v>34</v>
      </c>
      <c r="B10" s="2">
        <v>46038.367361111108</v>
      </c>
      <c r="C10" t="s">
        <v>35</v>
      </c>
      <c r="D10" t="s">
        <v>2</v>
      </c>
      <c r="E10" t="s">
        <v>3</v>
      </c>
      <c r="F10" t="s">
        <v>25</v>
      </c>
      <c r="G10">
        <v>5</v>
      </c>
      <c r="H10" s="3">
        <v>3500</v>
      </c>
      <c r="I10" s="4">
        <v>0.1</v>
      </c>
      <c r="J10" s="3">
        <v>3150</v>
      </c>
      <c r="K10" s="3">
        <v>15750</v>
      </c>
      <c r="L10" s="3">
        <v>11803.37</v>
      </c>
      <c r="M10" s="3">
        <v>3946.63</v>
      </c>
      <c r="N10" t="s">
        <v>16</v>
      </c>
      <c r="O10" t="s">
        <v>6</v>
      </c>
      <c r="P10">
        <v>1</v>
      </c>
    </row>
    <row r="11" spans="1:16" x14ac:dyDescent="0.3">
      <c r="A11" t="s">
        <v>36</v>
      </c>
      <c r="B11" s="2">
        <v>46040.786805555559</v>
      </c>
      <c r="C11" t="s">
        <v>18</v>
      </c>
      <c r="D11" t="s">
        <v>28</v>
      </c>
      <c r="E11" t="s">
        <v>29</v>
      </c>
      <c r="F11" t="s">
        <v>25</v>
      </c>
      <c r="G11">
        <v>1</v>
      </c>
      <c r="H11" s="3">
        <v>2200</v>
      </c>
      <c r="I11" s="4">
        <v>0</v>
      </c>
      <c r="J11" s="3">
        <v>2200</v>
      </c>
      <c r="K11" s="3">
        <v>2200</v>
      </c>
      <c r="L11" s="3">
        <v>1743.54</v>
      </c>
      <c r="M11" s="3">
        <v>456.46</v>
      </c>
      <c r="N11" t="s">
        <v>33</v>
      </c>
      <c r="O11" t="s">
        <v>6</v>
      </c>
      <c r="P11">
        <v>1</v>
      </c>
    </row>
    <row r="12" spans="1:16" x14ac:dyDescent="0.3">
      <c r="A12" t="s">
        <v>37</v>
      </c>
      <c r="B12" s="2">
        <v>46040.661805555559</v>
      </c>
      <c r="C12" t="s">
        <v>38</v>
      </c>
      <c r="D12" t="s">
        <v>28</v>
      </c>
      <c r="E12" t="s">
        <v>29</v>
      </c>
      <c r="F12" t="s">
        <v>25</v>
      </c>
      <c r="G12">
        <v>2</v>
      </c>
      <c r="H12" s="3">
        <v>2200</v>
      </c>
      <c r="I12" s="4">
        <v>0</v>
      </c>
      <c r="J12" s="3">
        <v>2200</v>
      </c>
      <c r="K12" s="3">
        <v>4400</v>
      </c>
      <c r="L12" s="3">
        <v>2867.57</v>
      </c>
      <c r="M12" s="3">
        <v>1532.43</v>
      </c>
      <c r="N12" t="s">
        <v>39</v>
      </c>
      <c r="O12" t="s">
        <v>6</v>
      </c>
      <c r="P12">
        <v>1</v>
      </c>
    </row>
    <row r="13" spans="1:16" x14ac:dyDescent="0.3">
      <c r="A13" t="s">
        <v>40</v>
      </c>
      <c r="B13" s="2">
        <v>46041.623611111114</v>
      </c>
      <c r="C13" t="s">
        <v>41</v>
      </c>
      <c r="D13" t="s">
        <v>9</v>
      </c>
      <c r="E13" t="s">
        <v>3</v>
      </c>
      <c r="F13" t="s">
        <v>15</v>
      </c>
      <c r="G13">
        <v>5</v>
      </c>
      <c r="H13" s="3">
        <v>15000</v>
      </c>
      <c r="I13" s="4">
        <v>0</v>
      </c>
      <c r="J13" s="3">
        <v>15000</v>
      </c>
      <c r="K13" s="3">
        <v>75000</v>
      </c>
      <c r="L13" s="3">
        <v>50125.1</v>
      </c>
      <c r="M13" s="3">
        <v>24874.9</v>
      </c>
      <c r="N13" t="s">
        <v>16</v>
      </c>
      <c r="O13" t="s">
        <v>6</v>
      </c>
      <c r="P13">
        <v>1</v>
      </c>
    </row>
    <row r="14" spans="1:16" x14ac:dyDescent="0.3">
      <c r="A14" t="s">
        <v>42</v>
      </c>
      <c r="B14" s="2">
        <v>46042.652083333334</v>
      </c>
      <c r="C14" t="s">
        <v>43</v>
      </c>
      <c r="D14" t="s">
        <v>9</v>
      </c>
      <c r="E14" t="s">
        <v>3</v>
      </c>
      <c r="F14" t="s">
        <v>44</v>
      </c>
      <c r="G14">
        <v>4</v>
      </c>
      <c r="H14" s="3">
        <v>15000</v>
      </c>
      <c r="I14" s="4">
        <v>0.05</v>
      </c>
      <c r="J14" s="3">
        <v>14250</v>
      </c>
      <c r="K14" s="3">
        <v>57000</v>
      </c>
      <c r="L14" s="3">
        <v>41486.82</v>
      </c>
      <c r="M14" s="3">
        <v>15513.18</v>
      </c>
      <c r="N14" t="s">
        <v>19</v>
      </c>
      <c r="O14" t="s">
        <v>6</v>
      </c>
      <c r="P14">
        <v>1</v>
      </c>
    </row>
    <row r="15" spans="1:16" x14ac:dyDescent="0.3">
      <c r="A15" t="s">
        <v>45</v>
      </c>
      <c r="B15" s="2">
        <v>46043.770833333336</v>
      </c>
      <c r="C15" t="s">
        <v>46</v>
      </c>
      <c r="D15" t="s">
        <v>47</v>
      </c>
      <c r="E15" t="s">
        <v>3</v>
      </c>
      <c r="F15" t="s">
        <v>15</v>
      </c>
      <c r="G15">
        <v>2</v>
      </c>
      <c r="H15" s="3">
        <v>28000</v>
      </c>
      <c r="I15" s="4">
        <v>0.1</v>
      </c>
      <c r="J15" s="3">
        <v>25200</v>
      </c>
      <c r="K15" s="3">
        <v>50400</v>
      </c>
      <c r="L15" s="3">
        <v>34969.24</v>
      </c>
      <c r="M15" s="3">
        <v>15430.76</v>
      </c>
      <c r="N15" t="s">
        <v>19</v>
      </c>
      <c r="O15" t="s">
        <v>6</v>
      </c>
      <c r="P15">
        <v>1</v>
      </c>
    </row>
    <row r="16" spans="1:16" x14ac:dyDescent="0.3">
      <c r="A16" t="s">
        <v>48</v>
      </c>
      <c r="B16" s="2">
        <v>46045.384722222225</v>
      </c>
      <c r="C16" t="s">
        <v>49</v>
      </c>
      <c r="D16" t="s">
        <v>50</v>
      </c>
      <c r="E16" t="s">
        <v>29</v>
      </c>
      <c r="F16" t="s">
        <v>44</v>
      </c>
      <c r="G16">
        <v>3</v>
      </c>
      <c r="H16" s="3">
        <v>1200</v>
      </c>
      <c r="I16" s="4">
        <v>0.05</v>
      </c>
      <c r="J16" s="3">
        <v>1140</v>
      </c>
      <c r="K16" s="3">
        <v>3420</v>
      </c>
      <c r="L16" s="3">
        <v>2718.15</v>
      </c>
      <c r="M16" s="3">
        <v>701.85</v>
      </c>
      <c r="N16" t="s">
        <v>39</v>
      </c>
      <c r="O16" t="s">
        <v>6</v>
      </c>
      <c r="P16">
        <v>1</v>
      </c>
    </row>
    <row r="17" spans="1:16" x14ac:dyDescent="0.3">
      <c r="A17" t="s">
        <v>51</v>
      </c>
      <c r="B17" s="2">
        <v>46046.6</v>
      </c>
      <c r="C17" t="s">
        <v>52</v>
      </c>
      <c r="D17" t="s">
        <v>9</v>
      </c>
      <c r="E17" t="s">
        <v>3</v>
      </c>
      <c r="F17" t="s">
        <v>44</v>
      </c>
      <c r="G17">
        <v>2</v>
      </c>
      <c r="H17" s="3">
        <v>15000</v>
      </c>
      <c r="I17" s="4">
        <v>0.1</v>
      </c>
      <c r="J17" s="3">
        <v>13500</v>
      </c>
      <c r="K17" s="3">
        <v>27000</v>
      </c>
      <c r="L17" s="3">
        <v>18801.060000000001</v>
      </c>
      <c r="M17" s="3">
        <v>8198.94</v>
      </c>
      <c r="N17" t="s">
        <v>33</v>
      </c>
      <c r="O17" t="s">
        <v>6</v>
      </c>
      <c r="P17">
        <v>1</v>
      </c>
    </row>
    <row r="18" spans="1:16" x14ac:dyDescent="0.3">
      <c r="A18" t="s">
        <v>53</v>
      </c>
      <c r="B18" s="2">
        <v>46048.592361111114</v>
      </c>
      <c r="C18" t="s">
        <v>54</v>
      </c>
      <c r="D18" t="s">
        <v>47</v>
      </c>
      <c r="E18" t="s">
        <v>3</v>
      </c>
      <c r="F18" t="s">
        <v>15</v>
      </c>
      <c r="G18">
        <v>1</v>
      </c>
      <c r="H18" s="3">
        <v>28000</v>
      </c>
      <c r="I18" s="4">
        <v>0.05</v>
      </c>
      <c r="J18" s="3">
        <v>26600</v>
      </c>
      <c r="K18" s="3">
        <v>26600</v>
      </c>
      <c r="L18" s="3">
        <v>20883.580000000002</v>
      </c>
      <c r="M18" s="3">
        <v>5716.42</v>
      </c>
      <c r="N18" t="s">
        <v>33</v>
      </c>
      <c r="O18" t="s">
        <v>6</v>
      </c>
      <c r="P18">
        <v>1</v>
      </c>
    </row>
    <row r="19" spans="1:16" x14ac:dyDescent="0.3">
      <c r="A19" t="s">
        <v>55</v>
      </c>
      <c r="B19" s="2">
        <v>46049.405555555553</v>
      </c>
      <c r="C19" t="s">
        <v>56</v>
      </c>
      <c r="D19" t="s">
        <v>13</v>
      </c>
      <c r="E19" t="s">
        <v>14</v>
      </c>
      <c r="F19" t="s">
        <v>44</v>
      </c>
      <c r="G19">
        <v>4</v>
      </c>
      <c r="H19" s="3">
        <v>8500</v>
      </c>
      <c r="I19" s="4">
        <v>0.1</v>
      </c>
      <c r="J19" s="3">
        <v>7650</v>
      </c>
      <c r="K19" s="3">
        <v>30600</v>
      </c>
      <c r="L19" s="3">
        <v>19337.02</v>
      </c>
      <c r="M19" s="3">
        <v>11262.98</v>
      </c>
      <c r="N19" t="s">
        <v>10</v>
      </c>
      <c r="O19" t="s">
        <v>6</v>
      </c>
      <c r="P19">
        <v>1</v>
      </c>
    </row>
    <row r="20" spans="1:16" x14ac:dyDescent="0.3">
      <c r="A20" t="s">
        <v>57</v>
      </c>
      <c r="B20" s="2">
        <v>46050.474999999999</v>
      </c>
      <c r="C20" t="s">
        <v>58</v>
      </c>
      <c r="D20" t="s">
        <v>32</v>
      </c>
      <c r="E20" t="s">
        <v>3</v>
      </c>
      <c r="F20" t="s">
        <v>44</v>
      </c>
      <c r="G20">
        <v>2</v>
      </c>
      <c r="H20" s="3">
        <v>11000</v>
      </c>
      <c r="I20" s="4">
        <v>0</v>
      </c>
      <c r="J20" s="3">
        <v>11000</v>
      </c>
      <c r="K20" s="3">
        <v>22000</v>
      </c>
      <c r="L20" s="3">
        <v>17157.830000000002</v>
      </c>
      <c r="M20" s="3">
        <v>4842.17</v>
      </c>
      <c r="N20" t="s">
        <v>10</v>
      </c>
      <c r="O20" t="s">
        <v>6</v>
      </c>
      <c r="P20">
        <v>1</v>
      </c>
    </row>
    <row r="21" spans="1:16" x14ac:dyDescent="0.3">
      <c r="A21" t="s">
        <v>59</v>
      </c>
      <c r="B21" s="2">
        <v>46051.520138888889</v>
      </c>
      <c r="C21" t="s">
        <v>60</v>
      </c>
      <c r="D21" t="s">
        <v>24</v>
      </c>
      <c r="E21" t="s">
        <v>3</v>
      </c>
      <c r="F21" t="s">
        <v>25</v>
      </c>
      <c r="G21">
        <v>1</v>
      </c>
      <c r="H21" s="3">
        <v>55000</v>
      </c>
      <c r="I21" s="4">
        <v>0</v>
      </c>
      <c r="J21" s="3">
        <v>55000</v>
      </c>
      <c r="K21" s="3">
        <v>55000</v>
      </c>
      <c r="L21" s="3">
        <v>42265.43</v>
      </c>
      <c r="M21" s="3">
        <v>12734.57</v>
      </c>
      <c r="N21" t="s">
        <v>10</v>
      </c>
      <c r="O21" t="s">
        <v>6</v>
      </c>
      <c r="P21">
        <v>1</v>
      </c>
    </row>
    <row r="22" spans="1:16" x14ac:dyDescent="0.3">
      <c r="A22" t="s">
        <v>61</v>
      </c>
      <c r="B22" s="2">
        <v>46051.390277777777</v>
      </c>
      <c r="C22" t="s">
        <v>62</v>
      </c>
      <c r="D22" t="s">
        <v>63</v>
      </c>
      <c r="E22" t="s">
        <v>29</v>
      </c>
      <c r="F22" t="s">
        <v>44</v>
      </c>
      <c r="G22">
        <v>1</v>
      </c>
      <c r="H22" s="3">
        <v>1800</v>
      </c>
      <c r="I22" s="4">
        <v>0</v>
      </c>
      <c r="J22" s="3">
        <v>1800</v>
      </c>
      <c r="K22" s="3">
        <v>1800</v>
      </c>
      <c r="L22" s="3">
        <v>1382.38</v>
      </c>
      <c r="M22" s="3">
        <v>417.62</v>
      </c>
      <c r="N22" t="s">
        <v>39</v>
      </c>
      <c r="O22" t="s">
        <v>6</v>
      </c>
      <c r="P22">
        <v>1</v>
      </c>
    </row>
    <row r="23" spans="1:16" x14ac:dyDescent="0.3">
      <c r="A23" t="s">
        <v>64</v>
      </c>
      <c r="B23" s="2">
        <v>46053.395138888889</v>
      </c>
      <c r="C23" t="s">
        <v>65</v>
      </c>
      <c r="D23" t="s">
        <v>50</v>
      </c>
      <c r="E23" t="s">
        <v>29</v>
      </c>
      <c r="F23" t="s">
        <v>15</v>
      </c>
      <c r="G23">
        <v>5</v>
      </c>
      <c r="H23" s="3">
        <v>1200</v>
      </c>
      <c r="I23" s="4">
        <v>0.05</v>
      </c>
      <c r="J23" s="3">
        <v>1140</v>
      </c>
      <c r="K23" s="3">
        <v>5700</v>
      </c>
      <c r="L23" s="3">
        <v>3742.65</v>
      </c>
      <c r="M23" s="3">
        <v>1957.35</v>
      </c>
      <c r="N23" t="s">
        <v>39</v>
      </c>
      <c r="O23" t="s">
        <v>6</v>
      </c>
      <c r="P23">
        <v>1</v>
      </c>
    </row>
    <row r="24" spans="1:16" x14ac:dyDescent="0.3">
      <c r="A24" t="s">
        <v>66</v>
      </c>
      <c r="B24" s="2">
        <v>46054.535416666666</v>
      </c>
      <c r="C24" t="s">
        <v>67</v>
      </c>
      <c r="D24" t="s">
        <v>24</v>
      </c>
      <c r="E24" t="s">
        <v>3</v>
      </c>
      <c r="F24" t="s">
        <v>4</v>
      </c>
      <c r="G24">
        <v>1</v>
      </c>
      <c r="H24" s="3">
        <v>55000</v>
      </c>
      <c r="I24" s="4">
        <v>0.05</v>
      </c>
      <c r="J24" s="3">
        <v>52250</v>
      </c>
      <c r="K24" s="3">
        <v>52250</v>
      </c>
      <c r="L24" s="3">
        <v>41425.11</v>
      </c>
      <c r="M24" s="3">
        <v>10824.89</v>
      </c>
      <c r="N24" t="s">
        <v>16</v>
      </c>
      <c r="O24" t="s">
        <v>68</v>
      </c>
      <c r="P24">
        <v>2</v>
      </c>
    </row>
    <row r="25" spans="1:16" x14ac:dyDescent="0.3">
      <c r="A25" t="s">
        <v>69</v>
      </c>
      <c r="B25" s="2">
        <v>46055.402777777781</v>
      </c>
      <c r="C25" t="s">
        <v>70</v>
      </c>
      <c r="D25" t="s">
        <v>47</v>
      </c>
      <c r="E25" t="s">
        <v>3</v>
      </c>
      <c r="F25" t="s">
        <v>44</v>
      </c>
      <c r="G25">
        <v>2</v>
      </c>
      <c r="H25" s="3">
        <v>28000</v>
      </c>
      <c r="I25" s="4">
        <v>0.1</v>
      </c>
      <c r="J25" s="3">
        <v>25200</v>
      </c>
      <c r="K25" s="3">
        <v>50400</v>
      </c>
      <c r="L25" s="3">
        <v>32117.599999999999</v>
      </c>
      <c r="M25" s="3">
        <v>18282.400000000001</v>
      </c>
      <c r="N25" t="s">
        <v>39</v>
      </c>
      <c r="O25" t="s">
        <v>68</v>
      </c>
      <c r="P25">
        <v>2</v>
      </c>
    </row>
    <row r="26" spans="1:16" x14ac:dyDescent="0.3">
      <c r="A26" t="s">
        <v>71</v>
      </c>
      <c r="B26" s="2">
        <v>46056.624305555553</v>
      </c>
      <c r="C26" t="s">
        <v>72</v>
      </c>
      <c r="D26" t="s">
        <v>28</v>
      </c>
      <c r="E26" t="s">
        <v>29</v>
      </c>
      <c r="F26" t="s">
        <v>25</v>
      </c>
      <c r="G26">
        <v>4</v>
      </c>
      <c r="H26" s="3">
        <v>2200</v>
      </c>
      <c r="I26" s="4">
        <v>0</v>
      </c>
      <c r="J26" s="3">
        <v>2200</v>
      </c>
      <c r="K26" s="3">
        <v>8800</v>
      </c>
      <c r="L26" s="3">
        <v>7086.04</v>
      </c>
      <c r="M26" s="3">
        <v>1713.96</v>
      </c>
      <c r="N26" t="s">
        <v>5</v>
      </c>
      <c r="O26" t="s">
        <v>68</v>
      </c>
      <c r="P26">
        <v>2</v>
      </c>
    </row>
    <row r="27" spans="1:16" x14ac:dyDescent="0.3">
      <c r="A27" t="s">
        <v>73</v>
      </c>
      <c r="B27" s="2">
        <v>46057.622916666667</v>
      </c>
      <c r="C27" t="s">
        <v>74</v>
      </c>
      <c r="D27" t="s">
        <v>32</v>
      </c>
      <c r="E27" t="s">
        <v>3</v>
      </c>
      <c r="F27" t="s">
        <v>44</v>
      </c>
      <c r="G27">
        <v>3</v>
      </c>
      <c r="H27" s="3">
        <v>11000</v>
      </c>
      <c r="I27" s="4">
        <v>0.15</v>
      </c>
      <c r="J27" s="3">
        <v>9350</v>
      </c>
      <c r="K27" s="3">
        <v>28050</v>
      </c>
      <c r="L27" s="3">
        <v>18490.759999999998</v>
      </c>
      <c r="M27" s="3">
        <v>9559.24</v>
      </c>
      <c r="N27" t="s">
        <v>16</v>
      </c>
      <c r="O27" t="s">
        <v>68</v>
      </c>
      <c r="P27">
        <v>2</v>
      </c>
    </row>
    <row r="28" spans="1:16" x14ac:dyDescent="0.3">
      <c r="A28" t="s">
        <v>75</v>
      </c>
      <c r="B28" s="2">
        <v>46059.798611111109</v>
      </c>
      <c r="C28" t="s">
        <v>76</v>
      </c>
      <c r="D28" t="s">
        <v>2</v>
      </c>
      <c r="E28" t="s">
        <v>3</v>
      </c>
      <c r="F28" t="s">
        <v>44</v>
      </c>
      <c r="G28">
        <v>1</v>
      </c>
      <c r="H28" s="3">
        <v>3500</v>
      </c>
      <c r="I28" s="4">
        <v>0.05</v>
      </c>
      <c r="J28" s="3">
        <v>3325</v>
      </c>
      <c r="K28" s="3">
        <v>3325</v>
      </c>
      <c r="L28" s="3">
        <v>2592.5700000000002</v>
      </c>
      <c r="M28" s="3">
        <v>732.43</v>
      </c>
      <c r="N28" t="s">
        <v>10</v>
      </c>
      <c r="O28" t="s">
        <v>68</v>
      </c>
      <c r="P28">
        <v>2</v>
      </c>
    </row>
    <row r="29" spans="1:16" x14ac:dyDescent="0.3">
      <c r="A29" t="s">
        <v>77</v>
      </c>
      <c r="B29" s="2">
        <v>46061.415972222225</v>
      </c>
      <c r="C29" t="s">
        <v>56</v>
      </c>
      <c r="D29" t="s">
        <v>28</v>
      </c>
      <c r="E29" t="s">
        <v>29</v>
      </c>
      <c r="F29" t="s">
        <v>4</v>
      </c>
      <c r="G29">
        <v>5</v>
      </c>
      <c r="H29" s="3">
        <v>2200</v>
      </c>
      <c r="I29" s="4">
        <v>0</v>
      </c>
      <c r="J29" s="3">
        <v>2200</v>
      </c>
      <c r="K29" s="3">
        <v>11000</v>
      </c>
      <c r="L29" s="3">
        <v>8292.99</v>
      </c>
      <c r="M29" s="3">
        <v>2707.01</v>
      </c>
      <c r="N29" t="s">
        <v>19</v>
      </c>
      <c r="O29" t="s">
        <v>68</v>
      </c>
      <c r="P29">
        <v>2</v>
      </c>
    </row>
    <row r="30" spans="1:16" x14ac:dyDescent="0.3">
      <c r="A30" t="s">
        <v>78</v>
      </c>
      <c r="B30" s="2">
        <v>46066.643750000003</v>
      </c>
      <c r="C30" t="s">
        <v>79</v>
      </c>
      <c r="D30" t="s">
        <v>13</v>
      </c>
      <c r="E30" t="s">
        <v>14</v>
      </c>
      <c r="F30" t="s">
        <v>25</v>
      </c>
      <c r="G30">
        <v>4</v>
      </c>
      <c r="H30" s="3">
        <v>8500</v>
      </c>
      <c r="I30" s="4">
        <v>0.05</v>
      </c>
      <c r="J30" s="3">
        <v>8075</v>
      </c>
      <c r="K30" s="3">
        <v>32300</v>
      </c>
      <c r="L30" s="3">
        <v>25307.78</v>
      </c>
      <c r="M30" s="3">
        <v>6992.22</v>
      </c>
      <c r="N30" t="s">
        <v>19</v>
      </c>
      <c r="O30" t="s">
        <v>68</v>
      </c>
      <c r="P30">
        <v>2</v>
      </c>
    </row>
    <row r="31" spans="1:16" x14ac:dyDescent="0.3">
      <c r="A31" t="s">
        <v>80</v>
      </c>
      <c r="B31" s="2">
        <v>46068.577777777777</v>
      </c>
      <c r="C31" t="s">
        <v>81</v>
      </c>
      <c r="D31" t="s">
        <v>50</v>
      </c>
      <c r="E31" t="s">
        <v>29</v>
      </c>
      <c r="F31" t="s">
        <v>25</v>
      </c>
      <c r="G31">
        <v>3</v>
      </c>
      <c r="H31" s="3">
        <v>1200</v>
      </c>
      <c r="I31" s="4">
        <v>0.05</v>
      </c>
      <c r="J31" s="3">
        <v>1140</v>
      </c>
      <c r="K31" s="3">
        <v>3420</v>
      </c>
      <c r="L31" s="3">
        <v>2476.08</v>
      </c>
      <c r="M31" s="3">
        <v>943.92</v>
      </c>
      <c r="N31" t="s">
        <v>10</v>
      </c>
      <c r="O31" t="s">
        <v>68</v>
      </c>
      <c r="P31">
        <v>2</v>
      </c>
    </row>
    <row r="32" spans="1:16" x14ac:dyDescent="0.3">
      <c r="A32" t="s">
        <v>82</v>
      </c>
      <c r="B32" s="2">
        <v>46069.43472222222</v>
      </c>
      <c r="C32" t="s">
        <v>62</v>
      </c>
      <c r="D32" t="s">
        <v>9</v>
      </c>
      <c r="E32" t="s">
        <v>3</v>
      </c>
      <c r="F32" t="s">
        <v>15</v>
      </c>
      <c r="G32">
        <v>4</v>
      </c>
      <c r="H32" s="3">
        <v>15000</v>
      </c>
      <c r="I32" s="4">
        <v>0.05</v>
      </c>
      <c r="J32" s="3">
        <v>14250</v>
      </c>
      <c r="K32" s="3">
        <v>57000</v>
      </c>
      <c r="L32" s="3">
        <v>43361.52</v>
      </c>
      <c r="M32" s="3">
        <v>13638.48</v>
      </c>
      <c r="N32" t="s">
        <v>33</v>
      </c>
      <c r="O32" t="s">
        <v>68</v>
      </c>
      <c r="P32">
        <v>2</v>
      </c>
    </row>
    <row r="33" spans="1:16" x14ac:dyDescent="0.3">
      <c r="A33" t="s">
        <v>83</v>
      </c>
      <c r="B33" s="2">
        <v>46070.659722222219</v>
      </c>
      <c r="C33" t="s">
        <v>84</v>
      </c>
      <c r="D33" t="s">
        <v>32</v>
      </c>
      <c r="E33" t="s">
        <v>3</v>
      </c>
      <c r="F33" t="s">
        <v>25</v>
      </c>
      <c r="G33">
        <v>4</v>
      </c>
      <c r="H33" s="3">
        <v>11000</v>
      </c>
      <c r="I33" s="4">
        <v>0</v>
      </c>
      <c r="J33" s="3">
        <v>11000</v>
      </c>
      <c r="K33" s="3">
        <v>44000</v>
      </c>
      <c r="L33" s="3">
        <v>29555.62</v>
      </c>
      <c r="M33" s="3">
        <v>14444.38</v>
      </c>
      <c r="N33" t="s">
        <v>5</v>
      </c>
      <c r="O33" t="s">
        <v>68</v>
      </c>
      <c r="P33">
        <v>2</v>
      </c>
    </row>
    <row r="34" spans="1:16" x14ac:dyDescent="0.3">
      <c r="A34" t="s">
        <v>85</v>
      </c>
      <c r="B34" s="2">
        <v>46072.477777777778</v>
      </c>
      <c r="C34" t="s">
        <v>86</v>
      </c>
      <c r="D34" t="s">
        <v>63</v>
      </c>
      <c r="E34" t="s">
        <v>29</v>
      </c>
      <c r="F34" t="s">
        <v>44</v>
      </c>
      <c r="G34">
        <v>5</v>
      </c>
      <c r="H34" s="3">
        <v>1800</v>
      </c>
      <c r="I34" s="4">
        <v>0.05</v>
      </c>
      <c r="J34" s="3">
        <v>1710</v>
      </c>
      <c r="K34" s="3">
        <v>8550</v>
      </c>
      <c r="L34" s="3">
        <v>6676.63</v>
      </c>
      <c r="M34" s="3">
        <v>1873.37</v>
      </c>
      <c r="N34" t="s">
        <v>5</v>
      </c>
      <c r="O34" t="s">
        <v>68</v>
      </c>
      <c r="P34">
        <v>2</v>
      </c>
    </row>
    <row r="35" spans="1:16" x14ac:dyDescent="0.3">
      <c r="A35" t="s">
        <v>87</v>
      </c>
      <c r="B35" s="2">
        <v>46072.426388888889</v>
      </c>
      <c r="C35" t="s">
        <v>21</v>
      </c>
      <c r="D35" t="s">
        <v>32</v>
      </c>
      <c r="E35" t="s">
        <v>3</v>
      </c>
      <c r="F35" t="s">
        <v>25</v>
      </c>
      <c r="G35">
        <v>1</v>
      </c>
      <c r="H35" s="3">
        <v>11000</v>
      </c>
      <c r="I35" s="4">
        <v>0</v>
      </c>
      <c r="J35" s="3">
        <v>11000</v>
      </c>
      <c r="K35" s="3">
        <v>11000</v>
      </c>
      <c r="L35" s="3">
        <v>8454.11</v>
      </c>
      <c r="M35" s="3">
        <v>2545.89</v>
      </c>
      <c r="N35" t="s">
        <v>10</v>
      </c>
      <c r="O35" t="s">
        <v>68</v>
      </c>
      <c r="P35">
        <v>2</v>
      </c>
    </row>
    <row r="36" spans="1:16" x14ac:dyDescent="0.3">
      <c r="A36" t="s">
        <v>88</v>
      </c>
      <c r="B36" s="2">
        <v>46072.774305555555</v>
      </c>
      <c r="C36" t="s">
        <v>89</v>
      </c>
      <c r="D36" t="s">
        <v>47</v>
      </c>
      <c r="E36" t="s">
        <v>3</v>
      </c>
      <c r="F36" t="s">
        <v>4</v>
      </c>
      <c r="G36">
        <v>2</v>
      </c>
      <c r="H36" s="3">
        <v>28000</v>
      </c>
      <c r="I36" s="4">
        <v>0.05</v>
      </c>
      <c r="J36" s="3">
        <v>26600</v>
      </c>
      <c r="K36" s="3">
        <v>53200</v>
      </c>
      <c r="L36" s="3">
        <v>36485.56</v>
      </c>
      <c r="M36" s="3">
        <v>16714.439999999999</v>
      </c>
      <c r="N36" t="s">
        <v>10</v>
      </c>
      <c r="O36" t="s">
        <v>68</v>
      </c>
      <c r="P36">
        <v>2</v>
      </c>
    </row>
    <row r="37" spans="1:16" x14ac:dyDescent="0.3">
      <c r="A37" t="s">
        <v>90</v>
      </c>
      <c r="B37" s="2">
        <v>46074.76458333333</v>
      </c>
      <c r="C37" t="s">
        <v>91</v>
      </c>
      <c r="D37" t="s">
        <v>13</v>
      </c>
      <c r="E37" t="s">
        <v>14</v>
      </c>
      <c r="F37" t="s">
        <v>44</v>
      </c>
      <c r="G37">
        <v>5</v>
      </c>
      <c r="H37" s="3">
        <v>8500</v>
      </c>
      <c r="I37" s="4">
        <v>0</v>
      </c>
      <c r="J37" s="3">
        <v>8500</v>
      </c>
      <c r="K37" s="3">
        <v>42500</v>
      </c>
      <c r="L37" s="3">
        <v>31517.73</v>
      </c>
      <c r="M37" s="3">
        <v>10982.27</v>
      </c>
      <c r="N37" t="s">
        <v>39</v>
      </c>
      <c r="O37" t="s">
        <v>68</v>
      </c>
      <c r="P37">
        <v>2</v>
      </c>
    </row>
    <row r="38" spans="1:16" x14ac:dyDescent="0.3">
      <c r="A38" t="s">
        <v>92</v>
      </c>
      <c r="B38" s="2">
        <v>46076.739583333336</v>
      </c>
      <c r="C38" t="s">
        <v>93</v>
      </c>
      <c r="D38" t="s">
        <v>2</v>
      </c>
      <c r="E38" t="s">
        <v>3</v>
      </c>
      <c r="F38" t="s">
        <v>4</v>
      </c>
      <c r="G38">
        <v>1</v>
      </c>
      <c r="H38" s="3">
        <v>3500</v>
      </c>
      <c r="I38" s="4">
        <v>0</v>
      </c>
      <c r="J38" s="3">
        <v>3500</v>
      </c>
      <c r="K38" s="3">
        <v>3500</v>
      </c>
      <c r="L38" s="3">
        <v>2840.92</v>
      </c>
      <c r="M38" s="3">
        <v>659.08</v>
      </c>
      <c r="N38" t="s">
        <v>19</v>
      </c>
      <c r="O38" t="s">
        <v>68</v>
      </c>
      <c r="P38">
        <v>2</v>
      </c>
    </row>
    <row r="39" spans="1:16" x14ac:dyDescent="0.3">
      <c r="A39" t="s">
        <v>94</v>
      </c>
      <c r="B39" s="2">
        <v>46076.809027777781</v>
      </c>
      <c r="C39" t="s">
        <v>95</v>
      </c>
      <c r="D39" t="s">
        <v>63</v>
      </c>
      <c r="E39" t="s">
        <v>29</v>
      </c>
      <c r="F39" t="s">
        <v>25</v>
      </c>
      <c r="G39">
        <v>4</v>
      </c>
      <c r="H39" s="3">
        <v>1800</v>
      </c>
      <c r="I39" s="4">
        <v>0</v>
      </c>
      <c r="J39" s="3">
        <v>1800</v>
      </c>
      <c r="K39" s="3">
        <v>7200</v>
      </c>
      <c r="L39" s="3">
        <v>5737.83</v>
      </c>
      <c r="M39" s="3">
        <v>1462.17</v>
      </c>
      <c r="N39" t="s">
        <v>16</v>
      </c>
      <c r="O39" t="s">
        <v>68</v>
      </c>
      <c r="P39">
        <v>2</v>
      </c>
    </row>
    <row r="40" spans="1:16" x14ac:dyDescent="0.3">
      <c r="A40" t="s">
        <v>96</v>
      </c>
      <c r="B40" s="2">
        <v>46077.620833333334</v>
      </c>
      <c r="C40" t="s">
        <v>35</v>
      </c>
      <c r="D40" t="s">
        <v>28</v>
      </c>
      <c r="E40" t="s">
        <v>29</v>
      </c>
      <c r="F40" t="s">
        <v>15</v>
      </c>
      <c r="G40">
        <v>2</v>
      </c>
      <c r="H40" s="3">
        <v>2200</v>
      </c>
      <c r="I40" s="4">
        <v>0.1</v>
      </c>
      <c r="J40" s="3">
        <v>1980</v>
      </c>
      <c r="K40" s="3">
        <v>3960</v>
      </c>
      <c r="L40" s="3">
        <v>3093.52</v>
      </c>
      <c r="M40" s="3">
        <v>866.48</v>
      </c>
      <c r="N40" t="s">
        <v>16</v>
      </c>
      <c r="O40" t="s">
        <v>68</v>
      </c>
      <c r="P40">
        <v>2</v>
      </c>
    </row>
    <row r="41" spans="1:16" x14ac:dyDescent="0.3">
      <c r="A41" t="s">
        <v>97</v>
      </c>
      <c r="B41" s="2">
        <v>46077.855555555558</v>
      </c>
      <c r="C41" t="s">
        <v>21</v>
      </c>
      <c r="D41" t="s">
        <v>47</v>
      </c>
      <c r="E41" t="s">
        <v>3</v>
      </c>
      <c r="F41" t="s">
        <v>4</v>
      </c>
      <c r="G41">
        <v>3</v>
      </c>
      <c r="H41" s="3">
        <v>28000</v>
      </c>
      <c r="I41" s="4">
        <v>0.1</v>
      </c>
      <c r="J41" s="3">
        <v>25200</v>
      </c>
      <c r="K41" s="3">
        <v>75600</v>
      </c>
      <c r="L41" s="3">
        <v>53280.15</v>
      </c>
      <c r="M41" s="3">
        <v>22319.85</v>
      </c>
      <c r="N41" t="s">
        <v>16</v>
      </c>
      <c r="O41" t="s">
        <v>68</v>
      </c>
      <c r="P41">
        <v>2</v>
      </c>
    </row>
    <row r="42" spans="1:16" x14ac:dyDescent="0.3">
      <c r="A42" t="s">
        <v>98</v>
      </c>
      <c r="B42" s="2">
        <v>46077.8</v>
      </c>
      <c r="C42" t="s">
        <v>99</v>
      </c>
      <c r="D42" t="s">
        <v>100</v>
      </c>
      <c r="E42" t="s">
        <v>14</v>
      </c>
      <c r="F42" t="s">
        <v>25</v>
      </c>
      <c r="G42">
        <v>4</v>
      </c>
      <c r="H42" s="3">
        <v>12000</v>
      </c>
      <c r="I42" s="4">
        <v>0</v>
      </c>
      <c r="J42" s="3">
        <v>12000</v>
      </c>
      <c r="K42" s="3">
        <v>48000</v>
      </c>
      <c r="L42" s="3">
        <v>31747.89</v>
      </c>
      <c r="M42" s="3">
        <v>16252.11</v>
      </c>
      <c r="N42" t="s">
        <v>39</v>
      </c>
      <c r="O42" t="s">
        <v>68</v>
      </c>
      <c r="P42">
        <v>2</v>
      </c>
    </row>
    <row r="43" spans="1:16" x14ac:dyDescent="0.3">
      <c r="A43" t="s">
        <v>101</v>
      </c>
      <c r="B43" s="2">
        <v>46078.409722222219</v>
      </c>
      <c r="C43" t="s">
        <v>56</v>
      </c>
      <c r="D43" t="s">
        <v>50</v>
      </c>
      <c r="E43" t="s">
        <v>29</v>
      </c>
      <c r="F43" t="s">
        <v>15</v>
      </c>
      <c r="G43">
        <v>2</v>
      </c>
      <c r="H43" s="3">
        <v>1200</v>
      </c>
      <c r="I43" s="4">
        <v>0</v>
      </c>
      <c r="J43" s="3">
        <v>1200</v>
      </c>
      <c r="K43" s="3">
        <v>2400</v>
      </c>
      <c r="L43" s="3">
        <v>1583.04</v>
      </c>
      <c r="M43" s="3">
        <v>816.96</v>
      </c>
      <c r="N43" t="s">
        <v>39</v>
      </c>
      <c r="O43" t="s">
        <v>68</v>
      </c>
      <c r="P43">
        <v>2</v>
      </c>
    </row>
    <row r="44" spans="1:16" x14ac:dyDescent="0.3">
      <c r="A44" t="s">
        <v>102</v>
      </c>
      <c r="B44" s="2">
        <v>46078.707638888889</v>
      </c>
      <c r="C44" t="s">
        <v>103</v>
      </c>
      <c r="D44" t="s">
        <v>2</v>
      </c>
      <c r="E44" t="s">
        <v>3</v>
      </c>
      <c r="F44" t="s">
        <v>44</v>
      </c>
      <c r="G44">
        <v>3</v>
      </c>
      <c r="H44" s="3">
        <v>3500</v>
      </c>
      <c r="I44" s="4">
        <v>0.1</v>
      </c>
      <c r="J44" s="3">
        <v>3150</v>
      </c>
      <c r="K44" s="3">
        <v>9450</v>
      </c>
      <c r="L44" s="3">
        <v>7362.48</v>
      </c>
      <c r="M44" s="3">
        <v>2087.52</v>
      </c>
      <c r="N44" t="s">
        <v>39</v>
      </c>
      <c r="O44" t="s">
        <v>68</v>
      </c>
      <c r="P44">
        <v>2</v>
      </c>
    </row>
    <row r="45" spans="1:16" x14ac:dyDescent="0.3">
      <c r="A45" t="s">
        <v>104</v>
      </c>
      <c r="B45" s="2">
        <v>46078.818749999999</v>
      </c>
      <c r="C45" t="s">
        <v>105</v>
      </c>
      <c r="D45" t="s">
        <v>9</v>
      </c>
      <c r="E45" t="s">
        <v>3</v>
      </c>
      <c r="F45" t="s">
        <v>15</v>
      </c>
      <c r="G45">
        <v>1</v>
      </c>
      <c r="H45" s="3">
        <v>15000</v>
      </c>
      <c r="I45" s="4">
        <v>0</v>
      </c>
      <c r="J45" s="3">
        <v>15000</v>
      </c>
      <c r="K45" s="3">
        <v>15000</v>
      </c>
      <c r="L45" s="3">
        <v>10463.299999999999</v>
      </c>
      <c r="M45" s="3">
        <v>4536.7</v>
      </c>
      <c r="N45" t="s">
        <v>16</v>
      </c>
      <c r="O45" t="s">
        <v>68</v>
      </c>
      <c r="P45">
        <v>2</v>
      </c>
    </row>
    <row r="46" spans="1:16" x14ac:dyDescent="0.3">
      <c r="A46" t="s">
        <v>106</v>
      </c>
      <c r="B46" s="2">
        <v>46080.818749999999</v>
      </c>
      <c r="C46" t="s">
        <v>74</v>
      </c>
      <c r="D46" t="s">
        <v>47</v>
      </c>
      <c r="E46" t="s">
        <v>3</v>
      </c>
      <c r="F46" t="s">
        <v>4</v>
      </c>
      <c r="G46">
        <v>1</v>
      </c>
      <c r="H46" s="3">
        <v>28000</v>
      </c>
      <c r="I46" s="4">
        <v>0.15</v>
      </c>
      <c r="J46" s="3">
        <v>23800</v>
      </c>
      <c r="K46" s="3">
        <v>23800</v>
      </c>
      <c r="L46" s="3">
        <v>16637.82</v>
      </c>
      <c r="M46" s="3">
        <v>7162.18</v>
      </c>
      <c r="N46" t="s">
        <v>39</v>
      </c>
      <c r="O46" t="s">
        <v>68</v>
      </c>
      <c r="P46">
        <v>2</v>
      </c>
    </row>
    <row r="47" spans="1:16" x14ac:dyDescent="0.3">
      <c r="A47" t="s">
        <v>107</v>
      </c>
      <c r="B47" s="2">
        <v>46081.565972222219</v>
      </c>
      <c r="C47" t="s">
        <v>18</v>
      </c>
      <c r="D47" t="s">
        <v>100</v>
      </c>
      <c r="E47" t="s">
        <v>14</v>
      </c>
      <c r="F47" t="s">
        <v>15</v>
      </c>
      <c r="G47">
        <v>5</v>
      </c>
      <c r="H47" s="3">
        <v>12000</v>
      </c>
      <c r="I47" s="4">
        <v>0.1</v>
      </c>
      <c r="J47" s="3">
        <v>10800</v>
      </c>
      <c r="K47" s="3">
        <v>54000</v>
      </c>
      <c r="L47" s="3">
        <v>37799.58</v>
      </c>
      <c r="M47" s="3">
        <v>16200.42</v>
      </c>
      <c r="N47" t="s">
        <v>5</v>
      </c>
      <c r="O47" t="s">
        <v>68</v>
      </c>
      <c r="P47">
        <v>2</v>
      </c>
    </row>
    <row r="48" spans="1:16" x14ac:dyDescent="0.3">
      <c r="A48" t="s">
        <v>108</v>
      </c>
      <c r="B48" s="2">
        <v>46081.350694444445</v>
      </c>
      <c r="C48" t="s">
        <v>109</v>
      </c>
      <c r="D48" t="s">
        <v>2</v>
      </c>
      <c r="E48" t="s">
        <v>3</v>
      </c>
      <c r="F48" t="s">
        <v>15</v>
      </c>
      <c r="G48">
        <v>5</v>
      </c>
      <c r="H48" s="3">
        <v>3500</v>
      </c>
      <c r="I48" s="4">
        <v>0.15</v>
      </c>
      <c r="J48" s="3">
        <v>2975</v>
      </c>
      <c r="K48" s="3">
        <v>14875</v>
      </c>
      <c r="L48" s="3">
        <v>12055.71</v>
      </c>
      <c r="M48" s="3">
        <v>2819.29</v>
      </c>
      <c r="N48" t="s">
        <v>33</v>
      </c>
      <c r="O48" t="s">
        <v>68</v>
      </c>
      <c r="P48">
        <v>2</v>
      </c>
    </row>
    <row r="49" spans="1:16" x14ac:dyDescent="0.3">
      <c r="A49" t="s">
        <v>110</v>
      </c>
      <c r="B49" s="2">
        <v>46082.859722222223</v>
      </c>
      <c r="C49" t="s">
        <v>111</v>
      </c>
      <c r="D49" t="s">
        <v>47</v>
      </c>
      <c r="E49" t="s">
        <v>3</v>
      </c>
      <c r="F49" t="s">
        <v>4</v>
      </c>
      <c r="G49">
        <v>4</v>
      </c>
      <c r="H49" s="3">
        <v>28000</v>
      </c>
      <c r="I49" s="4">
        <v>0.05</v>
      </c>
      <c r="J49" s="3">
        <v>26600</v>
      </c>
      <c r="K49" s="3">
        <v>106400</v>
      </c>
      <c r="L49" s="3">
        <v>86362.45</v>
      </c>
      <c r="M49" s="3">
        <v>20037.55</v>
      </c>
      <c r="N49" t="s">
        <v>33</v>
      </c>
      <c r="O49" t="s">
        <v>112</v>
      </c>
      <c r="P49">
        <v>3</v>
      </c>
    </row>
    <row r="50" spans="1:16" x14ac:dyDescent="0.3">
      <c r="A50" t="s">
        <v>113</v>
      </c>
      <c r="B50" s="2">
        <v>46083.489583333336</v>
      </c>
      <c r="C50" t="s">
        <v>109</v>
      </c>
      <c r="D50" t="s">
        <v>63</v>
      </c>
      <c r="E50" t="s">
        <v>29</v>
      </c>
      <c r="F50" t="s">
        <v>15</v>
      </c>
      <c r="G50">
        <v>4</v>
      </c>
      <c r="H50" s="3">
        <v>1800</v>
      </c>
      <c r="I50" s="4">
        <v>0.05</v>
      </c>
      <c r="J50" s="3">
        <v>1710</v>
      </c>
      <c r="K50" s="3">
        <v>6840</v>
      </c>
      <c r="L50" s="3">
        <v>4526.1099999999997</v>
      </c>
      <c r="M50" s="3">
        <v>2313.89</v>
      </c>
      <c r="N50" t="s">
        <v>39</v>
      </c>
      <c r="O50" t="s">
        <v>112</v>
      </c>
      <c r="P50">
        <v>3</v>
      </c>
    </row>
    <row r="51" spans="1:16" x14ac:dyDescent="0.3">
      <c r="A51" t="s">
        <v>114</v>
      </c>
      <c r="B51" s="2">
        <v>46086.869444444441</v>
      </c>
      <c r="C51" t="s">
        <v>115</v>
      </c>
      <c r="D51" t="s">
        <v>24</v>
      </c>
      <c r="E51" t="s">
        <v>3</v>
      </c>
      <c r="F51" t="s">
        <v>44</v>
      </c>
      <c r="G51">
        <v>5</v>
      </c>
      <c r="H51" s="3">
        <v>55000</v>
      </c>
      <c r="I51" s="4">
        <v>0.05</v>
      </c>
      <c r="J51" s="3">
        <v>52250</v>
      </c>
      <c r="K51" s="3">
        <v>261250</v>
      </c>
      <c r="L51" s="3">
        <v>167423</v>
      </c>
      <c r="M51" s="3">
        <v>93827</v>
      </c>
      <c r="N51" t="s">
        <v>10</v>
      </c>
      <c r="O51" t="s">
        <v>112</v>
      </c>
      <c r="P51">
        <v>3</v>
      </c>
    </row>
    <row r="52" spans="1:16" x14ac:dyDescent="0.3">
      <c r="A52" t="s">
        <v>116</v>
      </c>
      <c r="B52" s="2">
        <v>46088.666666666664</v>
      </c>
      <c r="C52" t="s">
        <v>58</v>
      </c>
      <c r="D52" t="s">
        <v>32</v>
      </c>
      <c r="E52" t="s">
        <v>3</v>
      </c>
      <c r="F52" t="s">
        <v>4</v>
      </c>
      <c r="G52">
        <v>2</v>
      </c>
      <c r="H52" s="3">
        <v>11000</v>
      </c>
      <c r="I52" s="4">
        <v>0.05</v>
      </c>
      <c r="J52" s="3">
        <v>10450</v>
      </c>
      <c r="K52" s="3">
        <v>20900</v>
      </c>
      <c r="L52" s="3">
        <v>13001.52</v>
      </c>
      <c r="M52" s="3">
        <v>7898.48</v>
      </c>
      <c r="N52" t="s">
        <v>33</v>
      </c>
      <c r="O52" t="s">
        <v>112</v>
      </c>
      <c r="P52">
        <v>3</v>
      </c>
    </row>
    <row r="53" spans="1:16" x14ac:dyDescent="0.3">
      <c r="A53" t="s">
        <v>117</v>
      </c>
      <c r="B53" s="2">
        <v>46088.734027777777</v>
      </c>
      <c r="C53" t="s">
        <v>118</v>
      </c>
      <c r="D53" t="s">
        <v>63</v>
      </c>
      <c r="E53" t="s">
        <v>29</v>
      </c>
      <c r="F53" t="s">
        <v>44</v>
      </c>
      <c r="G53">
        <v>1</v>
      </c>
      <c r="H53" s="3">
        <v>1800</v>
      </c>
      <c r="I53" s="4">
        <v>0.1</v>
      </c>
      <c r="J53" s="3">
        <v>1620</v>
      </c>
      <c r="K53" s="3">
        <v>1620</v>
      </c>
      <c r="L53" s="3">
        <v>1059.71</v>
      </c>
      <c r="M53" s="3">
        <v>560.29</v>
      </c>
      <c r="N53" t="s">
        <v>10</v>
      </c>
      <c r="O53" t="s">
        <v>112</v>
      </c>
      <c r="P53">
        <v>3</v>
      </c>
    </row>
    <row r="54" spans="1:16" x14ac:dyDescent="0.3">
      <c r="A54" t="s">
        <v>119</v>
      </c>
      <c r="B54" s="2">
        <v>46091.674305555556</v>
      </c>
      <c r="C54" t="s">
        <v>99</v>
      </c>
      <c r="D54" t="s">
        <v>32</v>
      </c>
      <c r="E54" t="s">
        <v>3</v>
      </c>
      <c r="F54" t="s">
        <v>25</v>
      </c>
      <c r="G54">
        <v>1</v>
      </c>
      <c r="H54" s="3">
        <v>11000</v>
      </c>
      <c r="I54" s="4">
        <v>0.1</v>
      </c>
      <c r="J54" s="3">
        <v>9900</v>
      </c>
      <c r="K54" s="3">
        <v>9900</v>
      </c>
      <c r="L54" s="3">
        <v>7389.03</v>
      </c>
      <c r="M54" s="3">
        <v>2510.9699999999998</v>
      </c>
      <c r="N54" t="s">
        <v>19</v>
      </c>
      <c r="O54" t="s">
        <v>112</v>
      </c>
      <c r="P54">
        <v>3</v>
      </c>
    </row>
    <row r="55" spans="1:16" x14ac:dyDescent="0.3">
      <c r="A55" t="s">
        <v>120</v>
      </c>
      <c r="B55" s="2">
        <v>46093.541666666664</v>
      </c>
      <c r="C55" t="s">
        <v>121</v>
      </c>
      <c r="D55" t="s">
        <v>2</v>
      </c>
      <c r="E55" t="s">
        <v>3</v>
      </c>
      <c r="F55" t="s">
        <v>15</v>
      </c>
      <c r="G55">
        <v>1</v>
      </c>
      <c r="H55" s="3">
        <v>3500</v>
      </c>
      <c r="I55" s="4">
        <v>0</v>
      </c>
      <c r="J55" s="3">
        <v>3500</v>
      </c>
      <c r="K55" s="3">
        <v>3500</v>
      </c>
      <c r="L55" s="3">
        <v>2544</v>
      </c>
      <c r="M55" s="3">
        <v>956</v>
      </c>
      <c r="N55" t="s">
        <v>19</v>
      </c>
      <c r="O55" t="s">
        <v>112</v>
      </c>
      <c r="P55">
        <v>3</v>
      </c>
    </row>
    <row r="56" spans="1:16" x14ac:dyDescent="0.3">
      <c r="A56" t="s">
        <v>122</v>
      </c>
      <c r="B56" s="2">
        <v>46093.474305555559</v>
      </c>
      <c r="C56" t="s">
        <v>49</v>
      </c>
      <c r="D56" t="s">
        <v>50</v>
      </c>
      <c r="E56" t="s">
        <v>29</v>
      </c>
      <c r="F56" t="s">
        <v>4</v>
      </c>
      <c r="G56">
        <v>5</v>
      </c>
      <c r="H56" s="3">
        <v>1200</v>
      </c>
      <c r="I56" s="4">
        <v>0</v>
      </c>
      <c r="J56" s="3">
        <v>1200</v>
      </c>
      <c r="K56" s="3">
        <v>6000</v>
      </c>
      <c r="L56" s="3">
        <v>3947.58</v>
      </c>
      <c r="M56" s="3">
        <v>2052.42</v>
      </c>
      <c r="N56" t="s">
        <v>16</v>
      </c>
      <c r="O56" t="s">
        <v>112</v>
      </c>
      <c r="P56">
        <v>3</v>
      </c>
    </row>
    <row r="57" spans="1:16" x14ac:dyDescent="0.3">
      <c r="A57" t="s">
        <v>123</v>
      </c>
      <c r="B57" s="2">
        <v>46093.503472222219</v>
      </c>
      <c r="C57" t="s">
        <v>124</v>
      </c>
      <c r="D57" t="s">
        <v>100</v>
      </c>
      <c r="E57" t="s">
        <v>14</v>
      </c>
      <c r="F57" t="s">
        <v>25</v>
      </c>
      <c r="G57">
        <v>3</v>
      </c>
      <c r="H57" s="3">
        <v>12000</v>
      </c>
      <c r="I57" s="4">
        <v>0</v>
      </c>
      <c r="J57" s="3">
        <v>12000</v>
      </c>
      <c r="K57" s="3">
        <v>36000</v>
      </c>
      <c r="L57" s="3">
        <v>25340.28</v>
      </c>
      <c r="M57" s="3">
        <v>10659.72</v>
      </c>
      <c r="N57" t="s">
        <v>33</v>
      </c>
      <c r="O57" t="s">
        <v>112</v>
      </c>
      <c r="P57">
        <v>3</v>
      </c>
    </row>
    <row r="58" spans="1:16" x14ac:dyDescent="0.3">
      <c r="A58" t="s">
        <v>125</v>
      </c>
      <c r="B58" s="2">
        <v>46095.59097222222</v>
      </c>
      <c r="C58" t="s">
        <v>70</v>
      </c>
      <c r="D58" t="s">
        <v>24</v>
      </c>
      <c r="E58" t="s">
        <v>3</v>
      </c>
      <c r="F58" t="s">
        <v>15</v>
      </c>
      <c r="G58">
        <v>2</v>
      </c>
      <c r="H58" s="3">
        <v>55000</v>
      </c>
      <c r="I58" s="4">
        <v>0.05</v>
      </c>
      <c r="J58" s="3">
        <v>52250</v>
      </c>
      <c r="K58" s="3">
        <v>104500</v>
      </c>
      <c r="L58" s="3">
        <v>82298.240000000005</v>
      </c>
      <c r="M58" s="3">
        <v>22201.759999999998</v>
      </c>
      <c r="N58" t="s">
        <v>39</v>
      </c>
      <c r="O58" t="s">
        <v>112</v>
      </c>
      <c r="P58">
        <v>3</v>
      </c>
    </row>
    <row r="59" spans="1:16" x14ac:dyDescent="0.3">
      <c r="A59" t="s">
        <v>126</v>
      </c>
      <c r="B59" s="2">
        <v>46095.814583333333</v>
      </c>
      <c r="C59" t="s">
        <v>127</v>
      </c>
      <c r="D59" t="s">
        <v>28</v>
      </c>
      <c r="E59" t="s">
        <v>29</v>
      </c>
      <c r="F59" t="s">
        <v>25</v>
      </c>
      <c r="G59">
        <v>3</v>
      </c>
      <c r="H59" s="3">
        <v>2200</v>
      </c>
      <c r="I59" s="4">
        <v>0</v>
      </c>
      <c r="J59" s="3">
        <v>2200</v>
      </c>
      <c r="K59" s="3">
        <v>6600</v>
      </c>
      <c r="L59" s="3">
        <v>4143.45</v>
      </c>
      <c r="M59" s="3">
        <v>2456.5500000000002</v>
      </c>
      <c r="N59" t="s">
        <v>39</v>
      </c>
      <c r="O59" t="s">
        <v>112</v>
      </c>
      <c r="P59">
        <v>3</v>
      </c>
    </row>
    <row r="60" spans="1:16" x14ac:dyDescent="0.3">
      <c r="A60" t="s">
        <v>128</v>
      </c>
      <c r="B60" s="2">
        <v>46096.474305555559</v>
      </c>
      <c r="C60" t="s">
        <v>54</v>
      </c>
      <c r="D60" t="s">
        <v>47</v>
      </c>
      <c r="E60" t="s">
        <v>3</v>
      </c>
      <c r="F60" t="s">
        <v>44</v>
      </c>
      <c r="G60">
        <v>5</v>
      </c>
      <c r="H60" s="3">
        <v>28000</v>
      </c>
      <c r="I60" s="4">
        <v>0.05</v>
      </c>
      <c r="J60" s="3">
        <v>26600</v>
      </c>
      <c r="K60" s="3">
        <v>133000</v>
      </c>
      <c r="L60" s="3">
        <v>84151.88</v>
      </c>
      <c r="M60" s="3">
        <v>48848.12</v>
      </c>
      <c r="N60" t="s">
        <v>19</v>
      </c>
      <c r="O60" t="s">
        <v>112</v>
      </c>
      <c r="P60">
        <v>3</v>
      </c>
    </row>
    <row r="61" spans="1:16" x14ac:dyDescent="0.3">
      <c r="A61" t="s">
        <v>129</v>
      </c>
      <c r="B61" s="2">
        <v>46097.54791666667</v>
      </c>
      <c r="C61" t="s">
        <v>130</v>
      </c>
      <c r="D61" t="s">
        <v>63</v>
      </c>
      <c r="E61" t="s">
        <v>29</v>
      </c>
      <c r="F61" t="s">
        <v>15</v>
      </c>
      <c r="G61">
        <v>2</v>
      </c>
      <c r="H61" s="3">
        <v>1800</v>
      </c>
      <c r="I61" s="4">
        <v>0.05</v>
      </c>
      <c r="J61" s="3">
        <v>1710</v>
      </c>
      <c r="K61" s="3">
        <v>3420</v>
      </c>
      <c r="L61" s="3">
        <v>2668.85</v>
      </c>
      <c r="M61" s="3">
        <v>751.15</v>
      </c>
      <c r="N61" t="s">
        <v>39</v>
      </c>
      <c r="O61" t="s">
        <v>112</v>
      </c>
      <c r="P61">
        <v>3</v>
      </c>
    </row>
    <row r="62" spans="1:16" x14ac:dyDescent="0.3">
      <c r="A62" t="s">
        <v>131</v>
      </c>
      <c r="B62" s="2">
        <v>46099.763194444444</v>
      </c>
      <c r="C62" t="s">
        <v>56</v>
      </c>
      <c r="D62" t="s">
        <v>100</v>
      </c>
      <c r="E62" t="s">
        <v>14</v>
      </c>
      <c r="F62" t="s">
        <v>44</v>
      </c>
      <c r="G62">
        <v>4</v>
      </c>
      <c r="H62" s="3">
        <v>12000</v>
      </c>
      <c r="I62" s="4">
        <v>0</v>
      </c>
      <c r="J62" s="3">
        <v>12000</v>
      </c>
      <c r="K62" s="3">
        <v>48000</v>
      </c>
      <c r="L62" s="3">
        <v>35197.81</v>
      </c>
      <c r="M62" s="3">
        <v>12802.19</v>
      </c>
      <c r="N62" t="s">
        <v>19</v>
      </c>
      <c r="O62" t="s">
        <v>112</v>
      </c>
      <c r="P62">
        <v>3</v>
      </c>
    </row>
    <row r="63" spans="1:16" x14ac:dyDescent="0.3">
      <c r="A63" t="s">
        <v>132</v>
      </c>
      <c r="B63" s="2">
        <v>46099.454861111109</v>
      </c>
      <c r="C63" t="s">
        <v>21</v>
      </c>
      <c r="D63" t="s">
        <v>63</v>
      </c>
      <c r="E63" t="s">
        <v>29</v>
      </c>
      <c r="F63" t="s">
        <v>15</v>
      </c>
      <c r="G63">
        <v>4</v>
      </c>
      <c r="H63" s="3">
        <v>1800</v>
      </c>
      <c r="I63" s="4">
        <v>0.1</v>
      </c>
      <c r="J63" s="3">
        <v>1620</v>
      </c>
      <c r="K63" s="3">
        <v>6480</v>
      </c>
      <c r="L63" s="3">
        <v>4131.33</v>
      </c>
      <c r="M63" s="3">
        <v>2348.67</v>
      </c>
      <c r="N63" t="s">
        <v>19</v>
      </c>
      <c r="O63" t="s">
        <v>112</v>
      </c>
      <c r="P63">
        <v>3</v>
      </c>
    </row>
    <row r="64" spans="1:16" x14ac:dyDescent="0.3">
      <c r="A64" t="s">
        <v>133</v>
      </c>
      <c r="B64" s="2">
        <v>46099.375</v>
      </c>
      <c r="C64" t="s">
        <v>111</v>
      </c>
      <c r="D64" t="s">
        <v>28</v>
      </c>
      <c r="E64" t="s">
        <v>29</v>
      </c>
      <c r="F64" t="s">
        <v>4</v>
      </c>
      <c r="G64">
        <v>4</v>
      </c>
      <c r="H64" s="3">
        <v>2200</v>
      </c>
      <c r="I64" s="4">
        <v>0</v>
      </c>
      <c r="J64" s="3">
        <v>2200</v>
      </c>
      <c r="K64" s="3">
        <v>8800</v>
      </c>
      <c r="L64" s="3">
        <v>5626.34</v>
      </c>
      <c r="M64" s="3">
        <v>3173.66</v>
      </c>
      <c r="N64" t="s">
        <v>5</v>
      </c>
      <c r="O64" t="s">
        <v>112</v>
      </c>
      <c r="P64">
        <v>3</v>
      </c>
    </row>
    <row r="65" spans="1:16" x14ac:dyDescent="0.3">
      <c r="A65" t="s">
        <v>134</v>
      </c>
      <c r="B65" s="2">
        <v>46100.666666666664</v>
      </c>
      <c r="C65" t="s">
        <v>99</v>
      </c>
      <c r="D65" t="s">
        <v>50</v>
      </c>
      <c r="E65" t="s">
        <v>29</v>
      </c>
      <c r="F65" t="s">
        <v>44</v>
      </c>
      <c r="G65">
        <v>4</v>
      </c>
      <c r="H65" s="3">
        <v>1200</v>
      </c>
      <c r="I65" s="4">
        <v>0</v>
      </c>
      <c r="J65" s="3">
        <v>1200</v>
      </c>
      <c r="K65" s="3">
        <v>4800</v>
      </c>
      <c r="L65" s="3">
        <v>3114.77</v>
      </c>
      <c r="M65" s="3">
        <v>1685.23</v>
      </c>
      <c r="N65" t="s">
        <v>39</v>
      </c>
      <c r="O65" t="s">
        <v>112</v>
      </c>
      <c r="P65">
        <v>3</v>
      </c>
    </row>
    <row r="66" spans="1:16" x14ac:dyDescent="0.3">
      <c r="A66" t="s">
        <v>135</v>
      </c>
      <c r="B66" s="2">
        <v>46102.806944444441</v>
      </c>
      <c r="C66" t="s">
        <v>136</v>
      </c>
      <c r="D66" t="s">
        <v>9</v>
      </c>
      <c r="E66" t="s">
        <v>3</v>
      </c>
      <c r="F66" t="s">
        <v>15</v>
      </c>
      <c r="G66">
        <v>3</v>
      </c>
      <c r="H66" s="3">
        <v>15000</v>
      </c>
      <c r="I66" s="4">
        <v>0</v>
      </c>
      <c r="J66" s="3">
        <v>15000</v>
      </c>
      <c r="K66" s="3">
        <v>45000</v>
      </c>
      <c r="L66" s="3">
        <v>30871.85</v>
      </c>
      <c r="M66" s="3">
        <v>14128.15</v>
      </c>
      <c r="N66" t="s">
        <v>39</v>
      </c>
      <c r="O66" t="s">
        <v>112</v>
      </c>
      <c r="P66">
        <v>3</v>
      </c>
    </row>
    <row r="67" spans="1:16" x14ac:dyDescent="0.3">
      <c r="A67" t="s">
        <v>137</v>
      </c>
      <c r="B67" s="2">
        <v>46105.470833333333</v>
      </c>
      <c r="C67" t="s">
        <v>138</v>
      </c>
      <c r="D67" t="s">
        <v>24</v>
      </c>
      <c r="E67" t="s">
        <v>3</v>
      </c>
      <c r="F67" t="s">
        <v>25</v>
      </c>
      <c r="G67">
        <v>4</v>
      </c>
      <c r="H67" s="3">
        <v>55000</v>
      </c>
      <c r="I67" s="4">
        <v>0</v>
      </c>
      <c r="J67" s="3">
        <v>55000</v>
      </c>
      <c r="K67" s="3">
        <v>220000</v>
      </c>
      <c r="L67" s="3">
        <v>156473.42000000001</v>
      </c>
      <c r="M67" s="3">
        <v>63526.58</v>
      </c>
      <c r="N67" t="s">
        <v>16</v>
      </c>
      <c r="O67" t="s">
        <v>112</v>
      </c>
      <c r="P67">
        <v>3</v>
      </c>
    </row>
    <row r="68" spans="1:16" x14ac:dyDescent="0.3">
      <c r="A68" t="s">
        <v>139</v>
      </c>
      <c r="B68" s="2">
        <v>46105.76458333333</v>
      </c>
      <c r="C68" t="s">
        <v>140</v>
      </c>
      <c r="D68" t="s">
        <v>2</v>
      </c>
      <c r="E68" t="s">
        <v>3</v>
      </c>
      <c r="F68" t="s">
        <v>25</v>
      </c>
      <c r="G68">
        <v>1</v>
      </c>
      <c r="H68" s="3">
        <v>3500</v>
      </c>
      <c r="I68" s="4">
        <v>0.15</v>
      </c>
      <c r="J68" s="3">
        <v>2975</v>
      </c>
      <c r="K68" s="3">
        <v>2975</v>
      </c>
      <c r="L68" s="3">
        <v>2109.98</v>
      </c>
      <c r="M68" s="3">
        <v>865.02</v>
      </c>
      <c r="N68" t="s">
        <v>16</v>
      </c>
      <c r="O68" t="s">
        <v>112</v>
      </c>
      <c r="P68">
        <v>3</v>
      </c>
    </row>
    <row r="69" spans="1:16" x14ac:dyDescent="0.3">
      <c r="A69" t="s">
        <v>141</v>
      </c>
      <c r="B69" s="2">
        <v>46105.779166666667</v>
      </c>
      <c r="C69" t="s">
        <v>79</v>
      </c>
      <c r="D69" t="s">
        <v>13</v>
      </c>
      <c r="E69" t="s">
        <v>14</v>
      </c>
      <c r="F69" t="s">
        <v>44</v>
      </c>
      <c r="G69">
        <v>1</v>
      </c>
      <c r="H69" s="3">
        <v>8500</v>
      </c>
      <c r="I69" s="4">
        <v>0.1</v>
      </c>
      <c r="J69" s="3">
        <v>7650</v>
      </c>
      <c r="K69" s="3">
        <v>7650</v>
      </c>
      <c r="L69" s="3">
        <v>6152.53</v>
      </c>
      <c r="M69" s="3">
        <v>1497.47</v>
      </c>
      <c r="N69" t="s">
        <v>33</v>
      </c>
      <c r="O69" t="s">
        <v>112</v>
      </c>
      <c r="P69">
        <v>3</v>
      </c>
    </row>
    <row r="70" spans="1:16" x14ac:dyDescent="0.3">
      <c r="A70" t="s">
        <v>142</v>
      </c>
      <c r="B70" s="2">
        <v>46107.441666666666</v>
      </c>
      <c r="C70" t="s">
        <v>143</v>
      </c>
      <c r="D70" t="s">
        <v>63</v>
      </c>
      <c r="E70" t="s">
        <v>29</v>
      </c>
      <c r="F70" t="s">
        <v>15</v>
      </c>
      <c r="G70">
        <v>3</v>
      </c>
      <c r="H70" s="3">
        <v>1800</v>
      </c>
      <c r="I70" s="4">
        <v>0.1</v>
      </c>
      <c r="J70" s="3">
        <v>1620</v>
      </c>
      <c r="K70" s="3">
        <v>4860</v>
      </c>
      <c r="L70" s="3">
        <v>3039.25</v>
      </c>
      <c r="M70" s="3">
        <v>1820.75</v>
      </c>
      <c r="N70" t="s">
        <v>16</v>
      </c>
      <c r="O70" t="s">
        <v>112</v>
      </c>
      <c r="P70">
        <v>3</v>
      </c>
    </row>
    <row r="71" spans="1:16" x14ac:dyDescent="0.3">
      <c r="A71" t="s">
        <v>144</v>
      </c>
      <c r="B71" s="2">
        <v>46107.651388888888</v>
      </c>
      <c r="C71" t="s">
        <v>65</v>
      </c>
      <c r="D71" t="s">
        <v>63</v>
      </c>
      <c r="E71" t="s">
        <v>29</v>
      </c>
      <c r="F71" t="s">
        <v>44</v>
      </c>
      <c r="G71">
        <v>2</v>
      </c>
      <c r="H71" s="3">
        <v>1800</v>
      </c>
      <c r="I71" s="4">
        <v>0</v>
      </c>
      <c r="J71" s="3">
        <v>1800</v>
      </c>
      <c r="K71" s="3">
        <v>3600</v>
      </c>
      <c r="L71" s="3">
        <v>2692.67</v>
      </c>
      <c r="M71" s="3">
        <v>907.33</v>
      </c>
      <c r="N71" t="s">
        <v>5</v>
      </c>
      <c r="O71" t="s">
        <v>112</v>
      </c>
      <c r="P71">
        <v>3</v>
      </c>
    </row>
    <row r="72" spans="1:16" x14ac:dyDescent="0.3">
      <c r="A72" t="s">
        <v>145</v>
      </c>
      <c r="B72" s="2">
        <v>46111.373611111114</v>
      </c>
      <c r="C72" t="s">
        <v>43</v>
      </c>
      <c r="D72" t="s">
        <v>13</v>
      </c>
      <c r="E72" t="s">
        <v>14</v>
      </c>
      <c r="F72" t="s">
        <v>25</v>
      </c>
      <c r="G72">
        <v>2</v>
      </c>
      <c r="H72" s="3">
        <v>8500</v>
      </c>
      <c r="I72" s="4">
        <v>0.1</v>
      </c>
      <c r="J72" s="3">
        <v>7650</v>
      </c>
      <c r="K72" s="3">
        <v>15300</v>
      </c>
      <c r="L72" s="3">
        <v>12097.4</v>
      </c>
      <c r="M72" s="3">
        <v>3202.6</v>
      </c>
      <c r="N72" t="s">
        <v>19</v>
      </c>
      <c r="O72" t="s">
        <v>112</v>
      </c>
      <c r="P72">
        <v>3</v>
      </c>
    </row>
    <row r="73" spans="1:16" x14ac:dyDescent="0.3">
      <c r="A73" t="s">
        <v>146</v>
      </c>
      <c r="B73" s="2">
        <v>46112.729861111111</v>
      </c>
      <c r="C73" t="s">
        <v>105</v>
      </c>
      <c r="D73" t="s">
        <v>63</v>
      </c>
      <c r="E73" t="s">
        <v>29</v>
      </c>
      <c r="F73" t="s">
        <v>44</v>
      </c>
      <c r="G73">
        <v>5</v>
      </c>
      <c r="H73" s="3">
        <v>1800</v>
      </c>
      <c r="I73" s="4">
        <v>0.05</v>
      </c>
      <c r="J73" s="3">
        <v>1710</v>
      </c>
      <c r="K73" s="3">
        <v>8550</v>
      </c>
      <c r="L73" s="3">
        <v>5840.91</v>
      </c>
      <c r="M73" s="3">
        <v>2709.09</v>
      </c>
      <c r="N73" t="s">
        <v>10</v>
      </c>
      <c r="O73" t="s">
        <v>112</v>
      </c>
      <c r="P73">
        <v>3</v>
      </c>
    </row>
    <row r="74" spans="1:16" x14ac:dyDescent="0.3">
      <c r="A74" t="s">
        <v>147</v>
      </c>
      <c r="B74" s="2">
        <v>46114.39166666667</v>
      </c>
      <c r="C74" t="s">
        <v>81</v>
      </c>
      <c r="D74" t="s">
        <v>9</v>
      </c>
      <c r="E74" t="s">
        <v>3</v>
      </c>
      <c r="F74" t="s">
        <v>4</v>
      </c>
      <c r="G74">
        <v>4</v>
      </c>
      <c r="H74" s="3">
        <v>15000</v>
      </c>
      <c r="I74" s="4">
        <v>0.1</v>
      </c>
      <c r="J74" s="3">
        <v>13500</v>
      </c>
      <c r="K74" s="3">
        <v>54000</v>
      </c>
      <c r="L74" s="3">
        <v>37739.800000000003</v>
      </c>
      <c r="M74" s="3">
        <v>16260.2</v>
      </c>
      <c r="N74" t="s">
        <v>19</v>
      </c>
      <c r="O74" t="s">
        <v>148</v>
      </c>
      <c r="P74">
        <v>4</v>
      </c>
    </row>
    <row r="75" spans="1:16" x14ac:dyDescent="0.3">
      <c r="A75" t="s">
        <v>149</v>
      </c>
      <c r="B75" s="2">
        <v>46116.579861111109</v>
      </c>
      <c r="C75" t="s">
        <v>118</v>
      </c>
      <c r="D75" t="s">
        <v>50</v>
      </c>
      <c r="E75" t="s">
        <v>29</v>
      </c>
      <c r="F75" t="s">
        <v>15</v>
      </c>
      <c r="G75">
        <v>5</v>
      </c>
      <c r="H75" s="3">
        <v>1200</v>
      </c>
      <c r="I75" s="4">
        <v>0.15</v>
      </c>
      <c r="J75" s="3">
        <v>1020</v>
      </c>
      <c r="K75" s="3">
        <v>5100</v>
      </c>
      <c r="L75" s="3">
        <v>3541.19</v>
      </c>
      <c r="M75" s="3">
        <v>1558.81</v>
      </c>
      <c r="N75" t="s">
        <v>33</v>
      </c>
      <c r="O75" t="s">
        <v>148</v>
      </c>
      <c r="P75">
        <v>4</v>
      </c>
    </row>
    <row r="76" spans="1:16" x14ac:dyDescent="0.3">
      <c r="A76" t="s">
        <v>150</v>
      </c>
      <c r="B76" s="2">
        <v>46118.459722222222</v>
      </c>
      <c r="C76" t="s">
        <v>43</v>
      </c>
      <c r="D76" t="s">
        <v>24</v>
      </c>
      <c r="E76" t="s">
        <v>3</v>
      </c>
      <c r="F76" t="s">
        <v>44</v>
      </c>
      <c r="G76">
        <v>1</v>
      </c>
      <c r="H76" s="3">
        <v>55000</v>
      </c>
      <c r="I76" s="4">
        <v>0.05</v>
      </c>
      <c r="J76" s="3">
        <v>52250</v>
      </c>
      <c r="K76" s="3">
        <v>52250</v>
      </c>
      <c r="L76" s="3">
        <v>37092.49</v>
      </c>
      <c r="M76" s="3">
        <v>15157.51</v>
      </c>
      <c r="N76" t="s">
        <v>33</v>
      </c>
      <c r="O76" t="s">
        <v>148</v>
      </c>
      <c r="P76">
        <v>4</v>
      </c>
    </row>
    <row r="77" spans="1:16" x14ac:dyDescent="0.3">
      <c r="A77" t="s">
        <v>151</v>
      </c>
      <c r="B77" s="2">
        <v>46119.460416666669</v>
      </c>
      <c r="C77" t="s">
        <v>23</v>
      </c>
      <c r="D77" t="s">
        <v>100</v>
      </c>
      <c r="E77" t="s">
        <v>14</v>
      </c>
      <c r="F77" t="s">
        <v>25</v>
      </c>
      <c r="G77">
        <v>5</v>
      </c>
      <c r="H77" s="3">
        <v>12000</v>
      </c>
      <c r="I77" s="4">
        <v>0.05</v>
      </c>
      <c r="J77" s="3">
        <v>11400</v>
      </c>
      <c r="K77" s="3">
        <v>57000</v>
      </c>
      <c r="L77" s="3">
        <v>36885.94</v>
      </c>
      <c r="M77" s="3">
        <v>20114.060000000001</v>
      </c>
      <c r="N77" t="s">
        <v>16</v>
      </c>
      <c r="O77" t="s">
        <v>148</v>
      </c>
      <c r="P77">
        <v>4</v>
      </c>
    </row>
    <row r="78" spans="1:16" x14ac:dyDescent="0.3">
      <c r="A78" t="s">
        <v>152</v>
      </c>
      <c r="B78" s="2">
        <v>46119.836111111108</v>
      </c>
      <c r="C78" t="s">
        <v>74</v>
      </c>
      <c r="D78" t="s">
        <v>63</v>
      </c>
      <c r="E78" t="s">
        <v>29</v>
      </c>
      <c r="F78" t="s">
        <v>44</v>
      </c>
      <c r="G78">
        <v>4</v>
      </c>
      <c r="H78" s="3">
        <v>1800</v>
      </c>
      <c r="I78" s="4">
        <v>0</v>
      </c>
      <c r="J78" s="3">
        <v>1800</v>
      </c>
      <c r="K78" s="3">
        <v>7200</v>
      </c>
      <c r="L78" s="3">
        <v>5705.1</v>
      </c>
      <c r="M78" s="3">
        <v>1494.9</v>
      </c>
      <c r="N78" t="s">
        <v>33</v>
      </c>
      <c r="O78" t="s">
        <v>148</v>
      </c>
      <c r="P78">
        <v>4</v>
      </c>
    </row>
    <row r="79" spans="1:16" x14ac:dyDescent="0.3">
      <c r="A79" t="s">
        <v>153</v>
      </c>
      <c r="B79" s="2">
        <v>46120.674305555556</v>
      </c>
      <c r="C79" t="s">
        <v>154</v>
      </c>
      <c r="D79" t="s">
        <v>28</v>
      </c>
      <c r="E79" t="s">
        <v>29</v>
      </c>
      <c r="F79" t="s">
        <v>25</v>
      </c>
      <c r="G79">
        <v>1</v>
      </c>
      <c r="H79" s="3">
        <v>2200</v>
      </c>
      <c r="I79" s="4">
        <v>0</v>
      </c>
      <c r="J79" s="3">
        <v>2200</v>
      </c>
      <c r="K79" s="3">
        <v>2200</v>
      </c>
      <c r="L79" s="3">
        <v>1464.19</v>
      </c>
      <c r="M79" s="3">
        <v>735.81</v>
      </c>
      <c r="N79" t="s">
        <v>33</v>
      </c>
      <c r="O79" t="s">
        <v>148</v>
      </c>
      <c r="P79">
        <v>4</v>
      </c>
    </row>
    <row r="80" spans="1:16" x14ac:dyDescent="0.3">
      <c r="A80" t="s">
        <v>155</v>
      </c>
      <c r="B80" s="2">
        <v>46120.497916666667</v>
      </c>
      <c r="C80" t="s">
        <v>111</v>
      </c>
      <c r="D80" t="s">
        <v>100</v>
      </c>
      <c r="E80" t="s">
        <v>14</v>
      </c>
      <c r="F80" t="s">
        <v>44</v>
      </c>
      <c r="G80">
        <v>2</v>
      </c>
      <c r="H80" s="3">
        <v>12000</v>
      </c>
      <c r="I80" s="4">
        <v>0</v>
      </c>
      <c r="J80" s="3">
        <v>12000</v>
      </c>
      <c r="K80" s="3">
        <v>24000</v>
      </c>
      <c r="L80" s="3">
        <v>16905.36</v>
      </c>
      <c r="M80" s="3">
        <v>7094.64</v>
      </c>
      <c r="N80" t="s">
        <v>16</v>
      </c>
      <c r="O80" t="s">
        <v>148</v>
      </c>
      <c r="P80">
        <v>4</v>
      </c>
    </row>
    <row r="81" spans="1:16" x14ac:dyDescent="0.3">
      <c r="A81" t="s">
        <v>156</v>
      </c>
      <c r="B81" s="2">
        <v>46121.667361111111</v>
      </c>
      <c r="C81" t="s">
        <v>12</v>
      </c>
      <c r="D81" t="s">
        <v>32</v>
      </c>
      <c r="E81" t="s">
        <v>3</v>
      </c>
      <c r="F81" t="s">
        <v>25</v>
      </c>
      <c r="G81">
        <v>4</v>
      </c>
      <c r="H81" s="3">
        <v>11000</v>
      </c>
      <c r="I81" s="4">
        <v>0.15</v>
      </c>
      <c r="J81" s="3">
        <v>9350</v>
      </c>
      <c r="K81" s="3">
        <v>37400</v>
      </c>
      <c r="L81" s="3">
        <v>27459.43</v>
      </c>
      <c r="M81" s="3">
        <v>9940.57</v>
      </c>
      <c r="N81" t="s">
        <v>5</v>
      </c>
      <c r="O81" t="s">
        <v>148</v>
      </c>
      <c r="P81">
        <v>4</v>
      </c>
    </row>
    <row r="82" spans="1:16" x14ac:dyDescent="0.3">
      <c r="A82" t="s">
        <v>157</v>
      </c>
      <c r="B82" s="2">
        <v>46121.702777777777</v>
      </c>
      <c r="C82" t="s">
        <v>158</v>
      </c>
      <c r="D82" t="s">
        <v>50</v>
      </c>
      <c r="E82" t="s">
        <v>29</v>
      </c>
      <c r="F82" t="s">
        <v>15</v>
      </c>
      <c r="G82">
        <v>5</v>
      </c>
      <c r="H82" s="3">
        <v>1200</v>
      </c>
      <c r="I82" s="4">
        <v>0.05</v>
      </c>
      <c r="J82" s="3">
        <v>1140</v>
      </c>
      <c r="K82" s="3">
        <v>5700</v>
      </c>
      <c r="L82" s="3">
        <v>4553.41</v>
      </c>
      <c r="M82" s="3">
        <v>1146.5899999999999</v>
      </c>
      <c r="N82" t="s">
        <v>16</v>
      </c>
      <c r="O82" t="s">
        <v>148</v>
      </c>
      <c r="P82">
        <v>4</v>
      </c>
    </row>
    <row r="83" spans="1:16" x14ac:dyDescent="0.3">
      <c r="A83" t="s">
        <v>159</v>
      </c>
      <c r="B83" s="2">
        <v>46122.620138888888</v>
      </c>
      <c r="C83" t="s">
        <v>46</v>
      </c>
      <c r="D83" t="s">
        <v>32</v>
      </c>
      <c r="E83" t="s">
        <v>3</v>
      </c>
      <c r="F83" t="s">
        <v>44</v>
      </c>
      <c r="G83">
        <v>5</v>
      </c>
      <c r="H83" s="3">
        <v>11000</v>
      </c>
      <c r="I83" s="4">
        <v>0.1</v>
      </c>
      <c r="J83" s="3">
        <v>9900</v>
      </c>
      <c r="K83" s="3">
        <v>49500</v>
      </c>
      <c r="L83" s="3">
        <v>33034.32</v>
      </c>
      <c r="M83" s="3">
        <v>16465.68</v>
      </c>
      <c r="N83" t="s">
        <v>19</v>
      </c>
      <c r="O83" t="s">
        <v>148</v>
      </c>
      <c r="P83">
        <v>4</v>
      </c>
    </row>
    <row r="84" spans="1:16" x14ac:dyDescent="0.3">
      <c r="A84" t="s">
        <v>160</v>
      </c>
      <c r="B84" s="2">
        <v>46123.40625</v>
      </c>
      <c r="C84" t="s">
        <v>62</v>
      </c>
      <c r="D84" t="s">
        <v>28</v>
      </c>
      <c r="E84" t="s">
        <v>29</v>
      </c>
      <c r="F84" t="s">
        <v>25</v>
      </c>
      <c r="G84">
        <v>5</v>
      </c>
      <c r="H84" s="3">
        <v>2200</v>
      </c>
      <c r="I84" s="4">
        <v>0</v>
      </c>
      <c r="J84" s="3">
        <v>2200</v>
      </c>
      <c r="K84" s="3">
        <v>11000</v>
      </c>
      <c r="L84" s="3">
        <v>8101.6</v>
      </c>
      <c r="M84" s="3">
        <v>2898.4</v>
      </c>
      <c r="N84" t="s">
        <v>39</v>
      </c>
      <c r="O84" t="s">
        <v>148</v>
      </c>
      <c r="P84">
        <v>4</v>
      </c>
    </row>
    <row r="85" spans="1:16" x14ac:dyDescent="0.3">
      <c r="A85" t="s">
        <v>161</v>
      </c>
      <c r="B85" s="2">
        <v>46123.470138888886</v>
      </c>
      <c r="C85" t="s">
        <v>162</v>
      </c>
      <c r="D85" t="s">
        <v>63</v>
      </c>
      <c r="E85" t="s">
        <v>29</v>
      </c>
      <c r="F85" t="s">
        <v>15</v>
      </c>
      <c r="G85">
        <v>1</v>
      </c>
      <c r="H85" s="3">
        <v>1800</v>
      </c>
      <c r="I85" s="4">
        <v>0</v>
      </c>
      <c r="J85" s="3">
        <v>1800</v>
      </c>
      <c r="K85" s="3">
        <v>1800</v>
      </c>
      <c r="L85" s="3">
        <v>1426.86</v>
      </c>
      <c r="M85" s="3">
        <v>373.14</v>
      </c>
      <c r="N85" t="s">
        <v>10</v>
      </c>
      <c r="O85" t="s">
        <v>148</v>
      </c>
      <c r="P85">
        <v>4</v>
      </c>
    </row>
    <row r="86" spans="1:16" x14ac:dyDescent="0.3">
      <c r="A86" t="s">
        <v>163</v>
      </c>
      <c r="B86" s="2">
        <v>46125.457638888889</v>
      </c>
      <c r="C86" t="s">
        <v>74</v>
      </c>
      <c r="D86" t="s">
        <v>24</v>
      </c>
      <c r="E86" t="s">
        <v>3</v>
      </c>
      <c r="F86" t="s">
        <v>4</v>
      </c>
      <c r="G86">
        <v>3</v>
      </c>
      <c r="H86" s="3">
        <v>55000</v>
      </c>
      <c r="I86" s="4">
        <v>0.15</v>
      </c>
      <c r="J86" s="3">
        <v>46750</v>
      </c>
      <c r="K86" s="3">
        <v>140250</v>
      </c>
      <c r="L86" s="3">
        <v>105801.31</v>
      </c>
      <c r="M86" s="3">
        <v>34448.69</v>
      </c>
      <c r="N86" t="s">
        <v>5</v>
      </c>
      <c r="O86" t="s">
        <v>148</v>
      </c>
      <c r="P86">
        <v>4</v>
      </c>
    </row>
    <row r="87" spans="1:16" x14ac:dyDescent="0.3">
      <c r="A87" t="s">
        <v>164</v>
      </c>
      <c r="B87" s="2">
        <v>46127.681250000001</v>
      </c>
      <c r="C87" t="s">
        <v>165</v>
      </c>
      <c r="D87" t="s">
        <v>24</v>
      </c>
      <c r="E87" t="s">
        <v>3</v>
      </c>
      <c r="F87" t="s">
        <v>4</v>
      </c>
      <c r="G87">
        <v>1</v>
      </c>
      <c r="H87" s="3">
        <v>55000</v>
      </c>
      <c r="I87" s="4">
        <v>0</v>
      </c>
      <c r="J87" s="3">
        <v>55000</v>
      </c>
      <c r="K87" s="3">
        <v>55000</v>
      </c>
      <c r="L87" s="3">
        <v>40208.89</v>
      </c>
      <c r="M87" s="3">
        <v>14791.11</v>
      </c>
      <c r="N87" t="s">
        <v>16</v>
      </c>
      <c r="O87" t="s">
        <v>148</v>
      </c>
      <c r="P87">
        <v>4</v>
      </c>
    </row>
    <row r="88" spans="1:16" x14ac:dyDescent="0.3">
      <c r="A88" t="s">
        <v>166</v>
      </c>
      <c r="B88" s="2">
        <v>46128.444444444445</v>
      </c>
      <c r="C88" t="s">
        <v>124</v>
      </c>
      <c r="D88" t="s">
        <v>9</v>
      </c>
      <c r="E88" t="s">
        <v>3</v>
      </c>
      <c r="F88" t="s">
        <v>4</v>
      </c>
      <c r="G88">
        <v>3</v>
      </c>
      <c r="H88" s="3">
        <v>15000</v>
      </c>
      <c r="I88" s="4">
        <v>0.05</v>
      </c>
      <c r="J88" s="3">
        <v>14250</v>
      </c>
      <c r="K88" s="3">
        <v>42750</v>
      </c>
      <c r="L88" s="3">
        <v>31465.81</v>
      </c>
      <c r="M88" s="3">
        <v>11284.19</v>
      </c>
      <c r="N88" t="s">
        <v>19</v>
      </c>
      <c r="O88" t="s">
        <v>148</v>
      </c>
      <c r="P88">
        <v>4</v>
      </c>
    </row>
    <row r="89" spans="1:16" x14ac:dyDescent="0.3">
      <c r="A89" t="s">
        <v>167</v>
      </c>
      <c r="B89" s="2">
        <v>46129.772916666669</v>
      </c>
      <c r="C89" t="s">
        <v>62</v>
      </c>
      <c r="D89" t="s">
        <v>28</v>
      </c>
      <c r="E89" t="s">
        <v>29</v>
      </c>
      <c r="F89" t="s">
        <v>25</v>
      </c>
      <c r="G89">
        <v>1</v>
      </c>
      <c r="H89" s="3">
        <v>2200</v>
      </c>
      <c r="I89" s="4">
        <v>0</v>
      </c>
      <c r="J89" s="3">
        <v>2200</v>
      </c>
      <c r="K89" s="3">
        <v>2200</v>
      </c>
      <c r="L89" s="3">
        <v>1709.55</v>
      </c>
      <c r="M89" s="3">
        <v>490.45</v>
      </c>
      <c r="N89" t="s">
        <v>10</v>
      </c>
      <c r="O89" t="s">
        <v>148</v>
      </c>
      <c r="P89">
        <v>4</v>
      </c>
    </row>
    <row r="90" spans="1:16" x14ac:dyDescent="0.3">
      <c r="A90" t="s">
        <v>168</v>
      </c>
      <c r="B90" s="2">
        <v>46130.675694444442</v>
      </c>
      <c r="C90" t="s">
        <v>95</v>
      </c>
      <c r="D90" t="s">
        <v>2</v>
      </c>
      <c r="E90" t="s">
        <v>3</v>
      </c>
      <c r="F90" t="s">
        <v>25</v>
      </c>
      <c r="G90">
        <v>3</v>
      </c>
      <c r="H90" s="3">
        <v>3500</v>
      </c>
      <c r="I90" s="4">
        <v>0.05</v>
      </c>
      <c r="J90" s="3">
        <v>3325</v>
      </c>
      <c r="K90" s="3">
        <v>9975</v>
      </c>
      <c r="L90" s="3">
        <v>7130.63</v>
      </c>
      <c r="M90" s="3">
        <v>2844.37</v>
      </c>
      <c r="N90" t="s">
        <v>19</v>
      </c>
      <c r="O90" t="s">
        <v>148</v>
      </c>
      <c r="P90">
        <v>4</v>
      </c>
    </row>
    <row r="91" spans="1:16" x14ac:dyDescent="0.3">
      <c r="A91" t="s">
        <v>169</v>
      </c>
      <c r="B91" s="2">
        <v>46131.859722222223</v>
      </c>
      <c r="C91" t="s">
        <v>91</v>
      </c>
      <c r="D91" t="s">
        <v>24</v>
      </c>
      <c r="E91" t="s">
        <v>3</v>
      </c>
      <c r="F91" t="s">
        <v>4</v>
      </c>
      <c r="G91">
        <v>4</v>
      </c>
      <c r="H91" s="3">
        <v>55000</v>
      </c>
      <c r="I91" s="4">
        <v>0</v>
      </c>
      <c r="J91" s="3">
        <v>55000</v>
      </c>
      <c r="K91" s="3">
        <v>220000</v>
      </c>
      <c r="L91" s="3">
        <v>143484.09</v>
      </c>
      <c r="M91" s="3">
        <v>76515.91</v>
      </c>
      <c r="N91" t="s">
        <v>19</v>
      </c>
      <c r="O91" t="s">
        <v>148</v>
      </c>
      <c r="P91">
        <v>4</v>
      </c>
    </row>
    <row r="92" spans="1:16" x14ac:dyDescent="0.3">
      <c r="A92" t="s">
        <v>170</v>
      </c>
      <c r="B92" s="2">
        <v>46132.769444444442</v>
      </c>
      <c r="C92" t="s">
        <v>89</v>
      </c>
      <c r="D92" t="s">
        <v>28</v>
      </c>
      <c r="E92" t="s">
        <v>29</v>
      </c>
      <c r="F92" t="s">
        <v>25</v>
      </c>
      <c r="G92">
        <v>4</v>
      </c>
      <c r="H92" s="3">
        <v>2200</v>
      </c>
      <c r="I92" s="4">
        <v>0.1</v>
      </c>
      <c r="J92" s="3">
        <v>1980</v>
      </c>
      <c r="K92" s="3">
        <v>7920</v>
      </c>
      <c r="L92" s="3">
        <v>5400.12</v>
      </c>
      <c r="M92" s="3">
        <v>2519.88</v>
      </c>
      <c r="N92" t="s">
        <v>10</v>
      </c>
      <c r="O92" t="s">
        <v>148</v>
      </c>
      <c r="P92">
        <v>4</v>
      </c>
    </row>
    <row r="93" spans="1:16" x14ac:dyDescent="0.3">
      <c r="A93" t="s">
        <v>171</v>
      </c>
      <c r="B93" s="2">
        <v>46132.682638888888</v>
      </c>
      <c r="C93" t="s">
        <v>172</v>
      </c>
      <c r="D93" t="s">
        <v>9</v>
      </c>
      <c r="E93" t="s">
        <v>3</v>
      </c>
      <c r="F93" t="s">
        <v>44</v>
      </c>
      <c r="G93">
        <v>4</v>
      </c>
      <c r="H93" s="3">
        <v>15000</v>
      </c>
      <c r="I93" s="4">
        <v>0</v>
      </c>
      <c r="J93" s="3">
        <v>15000</v>
      </c>
      <c r="K93" s="3">
        <v>60000</v>
      </c>
      <c r="L93" s="3">
        <v>48896.85</v>
      </c>
      <c r="M93" s="3">
        <v>11103.15</v>
      </c>
      <c r="N93" t="s">
        <v>33</v>
      </c>
      <c r="O93" t="s">
        <v>148</v>
      </c>
      <c r="P93">
        <v>4</v>
      </c>
    </row>
    <row r="94" spans="1:16" x14ac:dyDescent="0.3">
      <c r="A94" t="s">
        <v>173</v>
      </c>
      <c r="B94" s="2">
        <v>46133.737500000003</v>
      </c>
      <c r="C94" t="s">
        <v>174</v>
      </c>
      <c r="D94" t="s">
        <v>100</v>
      </c>
      <c r="E94" t="s">
        <v>14</v>
      </c>
      <c r="F94" t="s">
        <v>44</v>
      </c>
      <c r="G94">
        <v>2</v>
      </c>
      <c r="H94" s="3">
        <v>12000</v>
      </c>
      <c r="I94" s="4">
        <v>0</v>
      </c>
      <c r="J94" s="3">
        <v>12000</v>
      </c>
      <c r="K94" s="3">
        <v>24000</v>
      </c>
      <c r="L94" s="3">
        <v>16293.41</v>
      </c>
      <c r="M94" s="3">
        <v>7706.59</v>
      </c>
      <c r="N94" t="s">
        <v>19</v>
      </c>
      <c r="O94" t="s">
        <v>148</v>
      </c>
      <c r="P94">
        <v>4</v>
      </c>
    </row>
    <row r="95" spans="1:16" x14ac:dyDescent="0.3">
      <c r="A95" t="s">
        <v>175</v>
      </c>
      <c r="B95" s="2">
        <v>46135.768055555556</v>
      </c>
      <c r="C95" t="s">
        <v>176</v>
      </c>
      <c r="D95" t="s">
        <v>2</v>
      </c>
      <c r="E95" t="s">
        <v>3</v>
      </c>
      <c r="F95" t="s">
        <v>44</v>
      </c>
      <c r="G95">
        <v>2</v>
      </c>
      <c r="H95" s="3">
        <v>3500</v>
      </c>
      <c r="I95" s="4">
        <v>0.15</v>
      </c>
      <c r="J95" s="3">
        <v>2975</v>
      </c>
      <c r="K95" s="3">
        <v>5950</v>
      </c>
      <c r="L95" s="3">
        <v>4014.16</v>
      </c>
      <c r="M95" s="3">
        <v>1935.84</v>
      </c>
      <c r="N95" t="s">
        <v>5</v>
      </c>
      <c r="O95" t="s">
        <v>148</v>
      </c>
      <c r="P95">
        <v>4</v>
      </c>
    </row>
    <row r="96" spans="1:16" x14ac:dyDescent="0.3">
      <c r="A96" t="s">
        <v>177</v>
      </c>
      <c r="B96" s="2">
        <v>46136.396527777775</v>
      </c>
      <c r="C96" t="s">
        <v>93</v>
      </c>
      <c r="D96" t="s">
        <v>100</v>
      </c>
      <c r="E96" t="s">
        <v>14</v>
      </c>
      <c r="F96" t="s">
        <v>4</v>
      </c>
      <c r="G96">
        <v>2</v>
      </c>
      <c r="H96" s="3">
        <v>12000</v>
      </c>
      <c r="I96" s="4">
        <v>0.05</v>
      </c>
      <c r="J96" s="3">
        <v>11400</v>
      </c>
      <c r="K96" s="3">
        <v>22800</v>
      </c>
      <c r="L96" s="3">
        <v>14501.27</v>
      </c>
      <c r="M96" s="3">
        <v>8298.73</v>
      </c>
      <c r="N96" t="s">
        <v>10</v>
      </c>
      <c r="O96" t="s">
        <v>148</v>
      </c>
      <c r="P96">
        <v>4</v>
      </c>
    </row>
    <row r="97" spans="1:16" x14ac:dyDescent="0.3">
      <c r="A97" t="s">
        <v>178</v>
      </c>
      <c r="B97" s="2">
        <v>46137.67083333333</v>
      </c>
      <c r="C97" t="s">
        <v>72</v>
      </c>
      <c r="D97" t="s">
        <v>63</v>
      </c>
      <c r="E97" t="s">
        <v>29</v>
      </c>
      <c r="F97" t="s">
        <v>44</v>
      </c>
      <c r="G97">
        <v>3</v>
      </c>
      <c r="H97" s="3">
        <v>1800</v>
      </c>
      <c r="I97" s="4">
        <v>0</v>
      </c>
      <c r="J97" s="3">
        <v>1800</v>
      </c>
      <c r="K97" s="3">
        <v>5400</v>
      </c>
      <c r="L97" s="3">
        <v>4279.4399999999996</v>
      </c>
      <c r="M97" s="3">
        <v>1120.56</v>
      </c>
      <c r="N97" t="s">
        <v>19</v>
      </c>
      <c r="O97" t="s">
        <v>148</v>
      </c>
      <c r="P97">
        <v>4</v>
      </c>
    </row>
    <row r="98" spans="1:16" x14ac:dyDescent="0.3">
      <c r="A98" t="s">
        <v>179</v>
      </c>
      <c r="B98" s="2">
        <v>46137.402777777781</v>
      </c>
      <c r="C98" t="s">
        <v>49</v>
      </c>
      <c r="D98" t="s">
        <v>63</v>
      </c>
      <c r="E98" t="s">
        <v>29</v>
      </c>
      <c r="F98" t="s">
        <v>4</v>
      </c>
      <c r="G98">
        <v>3</v>
      </c>
      <c r="H98" s="3">
        <v>1800</v>
      </c>
      <c r="I98" s="4">
        <v>0.05</v>
      </c>
      <c r="J98" s="3">
        <v>1710</v>
      </c>
      <c r="K98" s="3">
        <v>5130</v>
      </c>
      <c r="L98" s="3">
        <v>3488.01</v>
      </c>
      <c r="M98" s="3">
        <v>1641.99</v>
      </c>
      <c r="N98" t="s">
        <v>16</v>
      </c>
      <c r="O98" t="s">
        <v>148</v>
      </c>
      <c r="P98">
        <v>4</v>
      </c>
    </row>
    <row r="99" spans="1:16" x14ac:dyDescent="0.3">
      <c r="A99" t="s">
        <v>180</v>
      </c>
      <c r="B99" s="2">
        <v>46138.729166666664</v>
      </c>
      <c r="C99" t="s">
        <v>181</v>
      </c>
      <c r="D99" t="s">
        <v>32</v>
      </c>
      <c r="E99" t="s">
        <v>3</v>
      </c>
      <c r="F99" t="s">
        <v>44</v>
      </c>
      <c r="G99">
        <v>4</v>
      </c>
      <c r="H99" s="3">
        <v>11000</v>
      </c>
      <c r="I99" s="4">
        <v>0</v>
      </c>
      <c r="J99" s="3">
        <v>11000</v>
      </c>
      <c r="K99" s="3">
        <v>44000</v>
      </c>
      <c r="L99" s="3">
        <v>35856.11</v>
      </c>
      <c r="M99" s="3">
        <v>8143.89</v>
      </c>
      <c r="N99" t="s">
        <v>39</v>
      </c>
      <c r="O99" t="s">
        <v>148</v>
      </c>
      <c r="P99">
        <v>4</v>
      </c>
    </row>
    <row r="100" spans="1:16" x14ac:dyDescent="0.3">
      <c r="A100" t="s">
        <v>182</v>
      </c>
      <c r="B100" s="2">
        <v>46138.511111111111</v>
      </c>
      <c r="C100" t="s">
        <v>46</v>
      </c>
      <c r="D100" t="s">
        <v>50</v>
      </c>
      <c r="E100" t="s">
        <v>29</v>
      </c>
      <c r="F100" t="s">
        <v>44</v>
      </c>
      <c r="G100">
        <v>1</v>
      </c>
      <c r="H100" s="3">
        <v>1200</v>
      </c>
      <c r="I100" s="4">
        <v>0.05</v>
      </c>
      <c r="J100" s="3">
        <v>1140</v>
      </c>
      <c r="K100" s="3">
        <v>1140</v>
      </c>
      <c r="L100" s="3">
        <v>862.11</v>
      </c>
      <c r="M100" s="3">
        <v>277.89</v>
      </c>
      <c r="N100" t="s">
        <v>33</v>
      </c>
      <c r="O100" t="s">
        <v>148</v>
      </c>
      <c r="P100">
        <v>4</v>
      </c>
    </row>
    <row r="101" spans="1:16" x14ac:dyDescent="0.3">
      <c r="A101" t="s">
        <v>183</v>
      </c>
      <c r="B101" s="2">
        <v>46139.411111111112</v>
      </c>
      <c r="C101" t="s">
        <v>43</v>
      </c>
      <c r="D101" t="s">
        <v>100</v>
      </c>
      <c r="E101" t="s">
        <v>14</v>
      </c>
      <c r="F101" t="s">
        <v>4</v>
      </c>
      <c r="G101">
        <v>4</v>
      </c>
      <c r="H101" s="3">
        <v>12000</v>
      </c>
      <c r="I101" s="4">
        <v>0.05</v>
      </c>
      <c r="J101" s="3">
        <v>11400</v>
      </c>
      <c r="K101" s="3">
        <v>45600</v>
      </c>
      <c r="L101" s="3">
        <v>37200.699999999997</v>
      </c>
      <c r="M101" s="3">
        <v>8399.2999999999993</v>
      </c>
      <c r="N101" t="s">
        <v>16</v>
      </c>
      <c r="O101" t="s">
        <v>148</v>
      </c>
      <c r="P101">
        <v>4</v>
      </c>
    </row>
    <row r="102" spans="1:16" x14ac:dyDescent="0.3">
      <c r="A102" t="s">
        <v>184</v>
      </c>
      <c r="B102" s="2">
        <v>46140.803472222222</v>
      </c>
      <c r="C102" t="s">
        <v>43</v>
      </c>
      <c r="D102" t="s">
        <v>13</v>
      </c>
      <c r="E102" t="s">
        <v>14</v>
      </c>
      <c r="F102" t="s">
        <v>25</v>
      </c>
      <c r="G102">
        <v>4</v>
      </c>
      <c r="H102" s="3">
        <v>8500</v>
      </c>
      <c r="I102" s="4">
        <v>0</v>
      </c>
      <c r="J102" s="3">
        <v>8500</v>
      </c>
      <c r="K102" s="3">
        <v>34000</v>
      </c>
      <c r="L102" s="3">
        <v>25010.01</v>
      </c>
      <c r="M102" s="3">
        <v>8989.99</v>
      </c>
      <c r="N102" t="s">
        <v>5</v>
      </c>
      <c r="O102" t="s">
        <v>148</v>
      </c>
      <c r="P102">
        <v>4</v>
      </c>
    </row>
    <row r="103" spans="1:16" x14ac:dyDescent="0.3">
      <c r="A103" t="s">
        <v>185</v>
      </c>
      <c r="B103" s="2">
        <v>46141.436111111114</v>
      </c>
      <c r="C103" t="s">
        <v>81</v>
      </c>
      <c r="D103" t="s">
        <v>32</v>
      </c>
      <c r="E103" t="s">
        <v>3</v>
      </c>
      <c r="F103" t="s">
        <v>4</v>
      </c>
      <c r="G103">
        <v>3</v>
      </c>
      <c r="H103" s="3">
        <v>11000</v>
      </c>
      <c r="I103" s="4">
        <v>0.05</v>
      </c>
      <c r="J103" s="3">
        <v>10450</v>
      </c>
      <c r="K103" s="3">
        <v>31350</v>
      </c>
      <c r="L103" s="3">
        <v>25561.4</v>
      </c>
      <c r="M103" s="3">
        <v>5788.6</v>
      </c>
      <c r="N103" t="s">
        <v>16</v>
      </c>
      <c r="O103" t="s">
        <v>148</v>
      </c>
      <c r="P103">
        <v>4</v>
      </c>
    </row>
    <row r="104" spans="1:16" x14ac:dyDescent="0.3">
      <c r="A104" t="s">
        <v>186</v>
      </c>
      <c r="B104" s="2">
        <v>46142.482638888891</v>
      </c>
      <c r="C104" t="s">
        <v>54</v>
      </c>
      <c r="D104" t="s">
        <v>50</v>
      </c>
      <c r="E104" t="s">
        <v>29</v>
      </c>
      <c r="F104" t="s">
        <v>44</v>
      </c>
      <c r="G104">
        <v>2</v>
      </c>
      <c r="H104" s="3">
        <v>1200</v>
      </c>
      <c r="I104" s="4">
        <v>0.05</v>
      </c>
      <c r="J104" s="3">
        <v>1140</v>
      </c>
      <c r="K104" s="3">
        <v>2280</v>
      </c>
      <c r="L104" s="3">
        <v>1673.07</v>
      </c>
      <c r="M104" s="3">
        <v>606.92999999999995</v>
      </c>
      <c r="N104" t="s">
        <v>39</v>
      </c>
      <c r="O104" t="s">
        <v>148</v>
      </c>
      <c r="P104">
        <v>4</v>
      </c>
    </row>
    <row r="105" spans="1:16" x14ac:dyDescent="0.3">
      <c r="A105" t="s">
        <v>187</v>
      </c>
      <c r="B105" s="2">
        <v>46143.372916666667</v>
      </c>
      <c r="C105" t="s">
        <v>111</v>
      </c>
      <c r="D105" t="s">
        <v>28</v>
      </c>
      <c r="E105" t="s">
        <v>29</v>
      </c>
      <c r="F105" t="s">
        <v>25</v>
      </c>
      <c r="G105">
        <v>2</v>
      </c>
      <c r="H105" s="3">
        <v>2200</v>
      </c>
      <c r="I105" s="4">
        <v>0</v>
      </c>
      <c r="J105" s="3">
        <v>2200</v>
      </c>
      <c r="K105" s="3">
        <v>4400</v>
      </c>
      <c r="L105" s="3">
        <v>2767.93</v>
      </c>
      <c r="M105" s="3">
        <v>1632.07</v>
      </c>
      <c r="N105" t="s">
        <v>33</v>
      </c>
      <c r="O105" t="s">
        <v>188</v>
      </c>
      <c r="P105">
        <v>5</v>
      </c>
    </row>
    <row r="106" spans="1:16" x14ac:dyDescent="0.3">
      <c r="A106" t="s">
        <v>189</v>
      </c>
      <c r="B106" s="2">
        <v>46144.461111111108</v>
      </c>
      <c r="C106" t="s">
        <v>190</v>
      </c>
      <c r="D106" t="s">
        <v>63</v>
      </c>
      <c r="E106" t="s">
        <v>29</v>
      </c>
      <c r="F106" t="s">
        <v>44</v>
      </c>
      <c r="G106">
        <v>3</v>
      </c>
      <c r="H106" s="3">
        <v>1800</v>
      </c>
      <c r="I106" s="4">
        <v>0</v>
      </c>
      <c r="J106" s="3">
        <v>1800</v>
      </c>
      <c r="K106" s="3">
        <v>5400</v>
      </c>
      <c r="L106" s="3">
        <v>3659.92</v>
      </c>
      <c r="M106" s="3">
        <v>1740.08</v>
      </c>
      <c r="N106" t="s">
        <v>5</v>
      </c>
      <c r="O106" t="s">
        <v>188</v>
      </c>
      <c r="P106">
        <v>5</v>
      </c>
    </row>
    <row r="107" spans="1:16" x14ac:dyDescent="0.3">
      <c r="A107" t="s">
        <v>191</v>
      </c>
      <c r="B107" s="2">
        <v>46146.759722222225</v>
      </c>
      <c r="C107" t="s">
        <v>72</v>
      </c>
      <c r="D107" t="s">
        <v>9</v>
      </c>
      <c r="E107" t="s">
        <v>3</v>
      </c>
      <c r="F107" t="s">
        <v>25</v>
      </c>
      <c r="G107">
        <v>1</v>
      </c>
      <c r="H107" s="3">
        <v>15000</v>
      </c>
      <c r="I107" s="4">
        <v>0.15</v>
      </c>
      <c r="J107" s="3">
        <v>12750</v>
      </c>
      <c r="K107" s="3">
        <v>12750</v>
      </c>
      <c r="L107" s="3">
        <v>9115.9599999999991</v>
      </c>
      <c r="M107" s="3">
        <v>3634.04</v>
      </c>
      <c r="N107" t="s">
        <v>5</v>
      </c>
      <c r="O107" t="s">
        <v>188</v>
      </c>
      <c r="P107">
        <v>5</v>
      </c>
    </row>
    <row r="108" spans="1:16" x14ac:dyDescent="0.3">
      <c r="A108" t="s">
        <v>192</v>
      </c>
      <c r="B108" s="2">
        <v>46146.854861111111</v>
      </c>
      <c r="C108" t="s">
        <v>181</v>
      </c>
      <c r="D108" t="s">
        <v>47</v>
      </c>
      <c r="E108" t="s">
        <v>3</v>
      </c>
      <c r="F108" t="s">
        <v>4</v>
      </c>
      <c r="G108">
        <v>2</v>
      </c>
      <c r="H108" s="3">
        <v>28000</v>
      </c>
      <c r="I108" s="4">
        <v>0</v>
      </c>
      <c r="J108" s="3">
        <v>28000</v>
      </c>
      <c r="K108" s="3">
        <v>56000</v>
      </c>
      <c r="L108" s="3">
        <v>34774.46</v>
      </c>
      <c r="M108" s="3">
        <v>21225.54</v>
      </c>
      <c r="N108" t="s">
        <v>16</v>
      </c>
      <c r="O108" t="s">
        <v>188</v>
      </c>
      <c r="P108">
        <v>5</v>
      </c>
    </row>
    <row r="109" spans="1:16" x14ac:dyDescent="0.3">
      <c r="A109" t="s">
        <v>193</v>
      </c>
      <c r="B109" s="2">
        <v>46148.756249999999</v>
      </c>
      <c r="C109" t="s">
        <v>103</v>
      </c>
      <c r="D109" t="s">
        <v>32</v>
      </c>
      <c r="E109" t="s">
        <v>3</v>
      </c>
      <c r="F109" t="s">
        <v>4</v>
      </c>
      <c r="G109">
        <v>3</v>
      </c>
      <c r="H109" s="3">
        <v>11000</v>
      </c>
      <c r="I109" s="4">
        <v>0.1</v>
      </c>
      <c r="J109" s="3">
        <v>9900</v>
      </c>
      <c r="K109" s="3">
        <v>29700</v>
      </c>
      <c r="L109" s="3">
        <v>22988.43</v>
      </c>
      <c r="M109" s="3">
        <v>6711.57</v>
      </c>
      <c r="N109" t="s">
        <v>10</v>
      </c>
      <c r="O109" t="s">
        <v>188</v>
      </c>
      <c r="P109">
        <v>5</v>
      </c>
    </row>
    <row r="110" spans="1:16" x14ac:dyDescent="0.3">
      <c r="A110" t="s">
        <v>194</v>
      </c>
      <c r="B110" s="2">
        <v>46150.647222222222</v>
      </c>
      <c r="C110" t="s">
        <v>8</v>
      </c>
      <c r="D110" t="s">
        <v>9</v>
      </c>
      <c r="E110" t="s">
        <v>3</v>
      </c>
      <c r="F110" t="s">
        <v>44</v>
      </c>
      <c r="G110">
        <v>3</v>
      </c>
      <c r="H110" s="3">
        <v>15000</v>
      </c>
      <c r="I110" s="4">
        <v>0</v>
      </c>
      <c r="J110" s="3">
        <v>15000</v>
      </c>
      <c r="K110" s="3">
        <v>45000</v>
      </c>
      <c r="L110" s="3">
        <v>29971.95</v>
      </c>
      <c r="M110" s="3">
        <v>15028.05</v>
      </c>
      <c r="N110" t="s">
        <v>16</v>
      </c>
      <c r="O110" t="s">
        <v>188</v>
      </c>
      <c r="P110">
        <v>5</v>
      </c>
    </row>
    <row r="111" spans="1:16" x14ac:dyDescent="0.3">
      <c r="A111" t="s">
        <v>195</v>
      </c>
      <c r="B111" s="2">
        <v>46152.795138888891</v>
      </c>
      <c r="C111" t="s">
        <v>118</v>
      </c>
      <c r="D111" t="s">
        <v>9</v>
      </c>
      <c r="E111" t="s">
        <v>3</v>
      </c>
      <c r="F111" t="s">
        <v>25</v>
      </c>
      <c r="G111">
        <v>2</v>
      </c>
      <c r="H111" s="3">
        <v>15000</v>
      </c>
      <c r="I111" s="4">
        <v>0.15</v>
      </c>
      <c r="J111" s="3">
        <v>12750</v>
      </c>
      <c r="K111" s="3">
        <v>25500</v>
      </c>
      <c r="L111" s="3">
        <v>20400.52</v>
      </c>
      <c r="M111" s="3">
        <v>5099.4799999999996</v>
      </c>
      <c r="N111" t="s">
        <v>39</v>
      </c>
      <c r="O111" t="s">
        <v>188</v>
      </c>
      <c r="P111">
        <v>5</v>
      </c>
    </row>
    <row r="112" spans="1:16" x14ac:dyDescent="0.3">
      <c r="A112" t="s">
        <v>196</v>
      </c>
      <c r="B112" s="2">
        <v>46153.615277777775</v>
      </c>
      <c r="C112" t="s">
        <v>197</v>
      </c>
      <c r="D112" t="s">
        <v>32</v>
      </c>
      <c r="E112" t="s">
        <v>3</v>
      </c>
      <c r="F112" t="s">
        <v>4</v>
      </c>
      <c r="G112">
        <v>1</v>
      </c>
      <c r="H112" s="3">
        <v>11000</v>
      </c>
      <c r="I112" s="4">
        <v>0.05</v>
      </c>
      <c r="J112" s="3">
        <v>10450</v>
      </c>
      <c r="K112" s="3">
        <v>10450</v>
      </c>
      <c r="L112" s="3">
        <v>7208.06</v>
      </c>
      <c r="M112" s="3">
        <v>3241.94</v>
      </c>
      <c r="N112" t="s">
        <v>33</v>
      </c>
      <c r="O112" t="s">
        <v>188</v>
      </c>
      <c r="P112">
        <v>5</v>
      </c>
    </row>
    <row r="113" spans="1:16" x14ac:dyDescent="0.3">
      <c r="A113" t="s">
        <v>198</v>
      </c>
      <c r="B113" s="2">
        <v>46153.695138888892</v>
      </c>
      <c r="C113" t="s">
        <v>199</v>
      </c>
      <c r="D113" t="s">
        <v>24</v>
      </c>
      <c r="E113" t="s">
        <v>3</v>
      </c>
      <c r="F113" t="s">
        <v>4</v>
      </c>
      <c r="G113">
        <v>3</v>
      </c>
      <c r="H113" s="3">
        <v>55000</v>
      </c>
      <c r="I113" s="4">
        <v>0.1</v>
      </c>
      <c r="J113" s="3">
        <v>49500</v>
      </c>
      <c r="K113" s="3">
        <v>148500</v>
      </c>
      <c r="L113" s="3">
        <v>100637.73</v>
      </c>
      <c r="M113" s="3">
        <v>47862.27</v>
      </c>
      <c r="N113" t="s">
        <v>10</v>
      </c>
      <c r="O113" t="s">
        <v>188</v>
      </c>
      <c r="P113">
        <v>5</v>
      </c>
    </row>
    <row r="114" spans="1:16" x14ac:dyDescent="0.3">
      <c r="A114" t="s">
        <v>200</v>
      </c>
      <c r="B114" s="2">
        <v>46154.463194444441</v>
      </c>
      <c r="C114" t="s">
        <v>81</v>
      </c>
      <c r="D114" t="s">
        <v>2</v>
      </c>
      <c r="E114" t="s">
        <v>3</v>
      </c>
      <c r="F114" t="s">
        <v>4</v>
      </c>
      <c r="G114">
        <v>3</v>
      </c>
      <c r="H114" s="3">
        <v>3500</v>
      </c>
      <c r="I114" s="4">
        <v>0</v>
      </c>
      <c r="J114" s="3">
        <v>3500</v>
      </c>
      <c r="K114" s="3">
        <v>10500</v>
      </c>
      <c r="L114" s="3">
        <v>7675.21</v>
      </c>
      <c r="M114" s="3">
        <v>2824.79</v>
      </c>
      <c r="N114" t="s">
        <v>33</v>
      </c>
      <c r="O114" t="s">
        <v>188</v>
      </c>
      <c r="P114">
        <v>5</v>
      </c>
    </row>
    <row r="115" spans="1:16" x14ac:dyDescent="0.3">
      <c r="A115" t="s">
        <v>201</v>
      </c>
      <c r="B115" s="2">
        <v>46155.440972222219</v>
      </c>
      <c r="C115" t="s">
        <v>202</v>
      </c>
      <c r="D115" t="s">
        <v>50</v>
      </c>
      <c r="E115" t="s">
        <v>29</v>
      </c>
      <c r="F115" t="s">
        <v>25</v>
      </c>
      <c r="G115">
        <v>1</v>
      </c>
      <c r="H115" s="3">
        <v>1200</v>
      </c>
      <c r="I115" s="4">
        <v>0.1</v>
      </c>
      <c r="J115" s="3">
        <v>1080</v>
      </c>
      <c r="K115" s="3">
        <v>1080</v>
      </c>
      <c r="L115" s="3">
        <v>815.6</v>
      </c>
      <c r="M115" s="3">
        <v>264.39999999999998</v>
      </c>
      <c r="N115" t="s">
        <v>16</v>
      </c>
      <c r="O115" t="s">
        <v>188</v>
      </c>
      <c r="P115">
        <v>5</v>
      </c>
    </row>
    <row r="116" spans="1:16" x14ac:dyDescent="0.3">
      <c r="A116" t="s">
        <v>203</v>
      </c>
      <c r="B116" s="2">
        <v>46156.708333333336</v>
      </c>
      <c r="C116" t="s">
        <v>52</v>
      </c>
      <c r="D116" t="s">
        <v>63</v>
      </c>
      <c r="E116" t="s">
        <v>29</v>
      </c>
      <c r="F116" t="s">
        <v>44</v>
      </c>
      <c r="G116">
        <v>5</v>
      </c>
      <c r="H116" s="3">
        <v>1800</v>
      </c>
      <c r="I116" s="4">
        <v>0</v>
      </c>
      <c r="J116" s="3">
        <v>1800</v>
      </c>
      <c r="K116" s="3">
        <v>9000</v>
      </c>
      <c r="L116" s="3">
        <v>5780.13</v>
      </c>
      <c r="M116" s="3">
        <v>3219.87</v>
      </c>
      <c r="N116" t="s">
        <v>10</v>
      </c>
      <c r="O116" t="s">
        <v>188</v>
      </c>
      <c r="P116">
        <v>5</v>
      </c>
    </row>
    <row r="117" spans="1:16" x14ac:dyDescent="0.3">
      <c r="A117" t="s">
        <v>204</v>
      </c>
      <c r="B117" s="2">
        <v>46156.334722222222</v>
      </c>
      <c r="C117" t="s">
        <v>12</v>
      </c>
      <c r="D117" t="s">
        <v>24</v>
      </c>
      <c r="E117" t="s">
        <v>3</v>
      </c>
      <c r="F117" t="s">
        <v>44</v>
      </c>
      <c r="G117">
        <v>4</v>
      </c>
      <c r="H117" s="3">
        <v>55000</v>
      </c>
      <c r="I117" s="4">
        <v>0.05</v>
      </c>
      <c r="J117" s="3">
        <v>52250</v>
      </c>
      <c r="K117" s="3">
        <v>209000</v>
      </c>
      <c r="L117" s="3">
        <v>141232.09</v>
      </c>
      <c r="M117" s="3">
        <v>67767.91</v>
      </c>
      <c r="N117" t="s">
        <v>39</v>
      </c>
      <c r="O117" t="s">
        <v>188</v>
      </c>
      <c r="P117">
        <v>5</v>
      </c>
    </row>
    <row r="118" spans="1:16" x14ac:dyDescent="0.3">
      <c r="A118" t="s">
        <v>205</v>
      </c>
      <c r="B118" s="2">
        <v>46157.647222222222</v>
      </c>
      <c r="C118" t="s">
        <v>111</v>
      </c>
      <c r="D118" t="s">
        <v>50</v>
      </c>
      <c r="E118" t="s">
        <v>29</v>
      </c>
      <c r="F118" t="s">
        <v>44</v>
      </c>
      <c r="G118">
        <v>5</v>
      </c>
      <c r="H118" s="3">
        <v>1200</v>
      </c>
      <c r="I118" s="4">
        <v>0</v>
      </c>
      <c r="J118" s="3">
        <v>1200</v>
      </c>
      <c r="K118" s="3">
        <v>6000</v>
      </c>
      <c r="L118" s="3">
        <v>3848.66</v>
      </c>
      <c r="M118" s="3">
        <v>2151.34</v>
      </c>
      <c r="N118" t="s">
        <v>10</v>
      </c>
      <c r="O118" t="s">
        <v>188</v>
      </c>
      <c r="P118">
        <v>5</v>
      </c>
    </row>
    <row r="119" spans="1:16" x14ac:dyDescent="0.3">
      <c r="A119" t="s">
        <v>206</v>
      </c>
      <c r="B119" s="2">
        <v>46159.633333333331</v>
      </c>
      <c r="C119" t="s">
        <v>136</v>
      </c>
      <c r="D119" t="s">
        <v>24</v>
      </c>
      <c r="E119" t="s">
        <v>3</v>
      </c>
      <c r="F119" t="s">
        <v>25</v>
      </c>
      <c r="G119">
        <v>5</v>
      </c>
      <c r="H119" s="3">
        <v>55000</v>
      </c>
      <c r="I119" s="4">
        <v>0.15</v>
      </c>
      <c r="J119" s="3">
        <v>46750</v>
      </c>
      <c r="K119" s="3">
        <v>233750</v>
      </c>
      <c r="L119" s="3">
        <v>178117.72</v>
      </c>
      <c r="M119" s="3">
        <v>55632.28</v>
      </c>
      <c r="N119" t="s">
        <v>33</v>
      </c>
      <c r="O119" t="s">
        <v>188</v>
      </c>
      <c r="P119">
        <v>5</v>
      </c>
    </row>
    <row r="120" spans="1:16" x14ac:dyDescent="0.3">
      <c r="A120" t="s">
        <v>207</v>
      </c>
      <c r="B120" s="2">
        <v>46160.505555555559</v>
      </c>
      <c r="C120" t="s">
        <v>208</v>
      </c>
      <c r="D120" t="s">
        <v>63</v>
      </c>
      <c r="E120" t="s">
        <v>29</v>
      </c>
      <c r="F120" t="s">
        <v>15</v>
      </c>
      <c r="G120">
        <v>5</v>
      </c>
      <c r="H120" s="3">
        <v>1800</v>
      </c>
      <c r="I120" s="4">
        <v>0</v>
      </c>
      <c r="J120" s="3">
        <v>1800</v>
      </c>
      <c r="K120" s="3">
        <v>9000</v>
      </c>
      <c r="L120" s="3">
        <v>6487.26</v>
      </c>
      <c r="M120" s="3">
        <v>2512.7399999999998</v>
      </c>
      <c r="N120" t="s">
        <v>19</v>
      </c>
      <c r="O120" t="s">
        <v>188</v>
      </c>
      <c r="P120">
        <v>5</v>
      </c>
    </row>
    <row r="121" spans="1:16" x14ac:dyDescent="0.3">
      <c r="A121" t="s">
        <v>209</v>
      </c>
      <c r="B121" s="2">
        <v>46161.824999999997</v>
      </c>
      <c r="C121" t="s">
        <v>176</v>
      </c>
      <c r="D121" t="s">
        <v>47</v>
      </c>
      <c r="E121" t="s">
        <v>3</v>
      </c>
      <c r="F121" t="s">
        <v>15</v>
      </c>
      <c r="G121">
        <v>1</v>
      </c>
      <c r="H121" s="3">
        <v>28000</v>
      </c>
      <c r="I121" s="4">
        <v>0</v>
      </c>
      <c r="J121" s="3">
        <v>28000</v>
      </c>
      <c r="K121" s="3">
        <v>28000</v>
      </c>
      <c r="L121" s="3">
        <v>19954.34</v>
      </c>
      <c r="M121" s="3">
        <v>8045.66</v>
      </c>
      <c r="N121" t="s">
        <v>5</v>
      </c>
      <c r="O121" t="s">
        <v>188</v>
      </c>
      <c r="P121">
        <v>5</v>
      </c>
    </row>
    <row r="122" spans="1:16" x14ac:dyDescent="0.3">
      <c r="A122" t="s">
        <v>210</v>
      </c>
      <c r="B122" s="2">
        <v>46164.446527777778</v>
      </c>
      <c r="C122" t="s">
        <v>52</v>
      </c>
      <c r="D122" t="s">
        <v>63</v>
      </c>
      <c r="E122" t="s">
        <v>29</v>
      </c>
      <c r="F122" t="s">
        <v>25</v>
      </c>
      <c r="G122">
        <v>4</v>
      </c>
      <c r="H122" s="3">
        <v>1800</v>
      </c>
      <c r="I122" s="4">
        <v>0.05</v>
      </c>
      <c r="J122" s="3">
        <v>1710</v>
      </c>
      <c r="K122" s="3">
        <v>6840</v>
      </c>
      <c r="L122" s="3">
        <v>5185.6499999999996</v>
      </c>
      <c r="M122" s="3">
        <v>1654.35</v>
      </c>
      <c r="N122" t="s">
        <v>5</v>
      </c>
      <c r="O122" t="s">
        <v>188</v>
      </c>
      <c r="P122">
        <v>5</v>
      </c>
    </row>
    <row r="123" spans="1:16" x14ac:dyDescent="0.3">
      <c r="A123" t="s">
        <v>211</v>
      </c>
      <c r="B123" s="2">
        <v>46164.560416666667</v>
      </c>
      <c r="C123" t="s">
        <v>62</v>
      </c>
      <c r="D123" t="s">
        <v>24</v>
      </c>
      <c r="E123" t="s">
        <v>3</v>
      </c>
      <c r="F123" t="s">
        <v>15</v>
      </c>
      <c r="G123">
        <v>2</v>
      </c>
      <c r="H123" s="3">
        <v>55000</v>
      </c>
      <c r="I123" s="4">
        <v>0.05</v>
      </c>
      <c r="J123" s="3">
        <v>52250</v>
      </c>
      <c r="K123" s="3">
        <v>104500</v>
      </c>
      <c r="L123" s="3">
        <v>84773.39</v>
      </c>
      <c r="M123" s="3">
        <v>19726.61</v>
      </c>
      <c r="N123" t="s">
        <v>39</v>
      </c>
      <c r="O123" t="s">
        <v>188</v>
      </c>
      <c r="P123">
        <v>5</v>
      </c>
    </row>
    <row r="124" spans="1:16" x14ac:dyDescent="0.3">
      <c r="A124" t="s">
        <v>212</v>
      </c>
      <c r="B124" s="2">
        <v>46165.768750000003</v>
      </c>
      <c r="C124" t="s">
        <v>181</v>
      </c>
      <c r="D124" t="s">
        <v>100</v>
      </c>
      <c r="E124" t="s">
        <v>14</v>
      </c>
      <c r="F124" t="s">
        <v>44</v>
      </c>
      <c r="G124">
        <v>1</v>
      </c>
      <c r="H124" s="3">
        <v>12000</v>
      </c>
      <c r="I124" s="4">
        <v>0.15</v>
      </c>
      <c r="J124" s="3">
        <v>10200</v>
      </c>
      <c r="K124" s="3">
        <v>10200</v>
      </c>
      <c r="L124" s="3">
        <v>8282.43</v>
      </c>
      <c r="M124" s="3">
        <v>1917.57</v>
      </c>
      <c r="N124" t="s">
        <v>16</v>
      </c>
      <c r="O124" t="s">
        <v>188</v>
      </c>
      <c r="P124">
        <v>5</v>
      </c>
    </row>
    <row r="125" spans="1:16" x14ac:dyDescent="0.3">
      <c r="A125" t="s">
        <v>213</v>
      </c>
      <c r="B125" s="2">
        <v>46167.370833333334</v>
      </c>
      <c r="C125" t="s">
        <v>43</v>
      </c>
      <c r="D125" t="s">
        <v>9</v>
      </c>
      <c r="E125" t="s">
        <v>3</v>
      </c>
      <c r="F125" t="s">
        <v>25</v>
      </c>
      <c r="G125">
        <v>1</v>
      </c>
      <c r="H125" s="3">
        <v>15000</v>
      </c>
      <c r="I125" s="4">
        <v>0</v>
      </c>
      <c r="J125" s="3">
        <v>15000</v>
      </c>
      <c r="K125" s="3">
        <v>15000</v>
      </c>
      <c r="L125" s="3">
        <v>11807.29</v>
      </c>
      <c r="M125" s="3">
        <v>3192.71</v>
      </c>
      <c r="N125" t="s">
        <v>5</v>
      </c>
      <c r="O125" t="s">
        <v>188</v>
      </c>
      <c r="P125">
        <v>5</v>
      </c>
    </row>
    <row r="126" spans="1:16" x14ac:dyDescent="0.3">
      <c r="A126" t="s">
        <v>214</v>
      </c>
      <c r="B126" s="2">
        <v>46168.625</v>
      </c>
      <c r="C126" t="s">
        <v>124</v>
      </c>
      <c r="D126" t="s">
        <v>100</v>
      </c>
      <c r="E126" t="s">
        <v>14</v>
      </c>
      <c r="F126" t="s">
        <v>44</v>
      </c>
      <c r="G126">
        <v>5</v>
      </c>
      <c r="H126" s="3">
        <v>12000</v>
      </c>
      <c r="I126" s="4">
        <v>0</v>
      </c>
      <c r="J126" s="3">
        <v>12000</v>
      </c>
      <c r="K126" s="3">
        <v>60000</v>
      </c>
      <c r="L126" s="3">
        <v>39763.550000000003</v>
      </c>
      <c r="M126" s="3">
        <v>20236.45</v>
      </c>
      <c r="N126" t="s">
        <v>16</v>
      </c>
      <c r="O126" t="s">
        <v>188</v>
      </c>
      <c r="P126">
        <v>5</v>
      </c>
    </row>
    <row r="127" spans="1:16" x14ac:dyDescent="0.3">
      <c r="A127" t="s">
        <v>215</v>
      </c>
      <c r="B127" s="2">
        <v>46168.720833333333</v>
      </c>
      <c r="C127" t="s">
        <v>118</v>
      </c>
      <c r="D127" t="s">
        <v>50</v>
      </c>
      <c r="E127" t="s">
        <v>29</v>
      </c>
      <c r="F127" t="s">
        <v>15</v>
      </c>
      <c r="G127">
        <v>5</v>
      </c>
      <c r="H127" s="3">
        <v>1200</v>
      </c>
      <c r="I127" s="4">
        <v>0.05</v>
      </c>
      <c r="J127" s="3">
        <v>1140</v>
      </c>
      <c r="K127" s="3">
        <v>5700</v>
      </c>
      <c r="L127" s="3">
        <v>3590.2</v>
      </c>
      <c r="M127" s="3">
        <v>2109.8000000000002</v>
      </c>
      <c r="N127" t="s">
        <v>10</v>
      </c>
      <c r="O127" t="s">
        <v>188</v>
      </c>
      <c r="P127">
        <v>5</v>
      </c>
    </row>
    <row r="128" spans="1:16" x14ac:dyDescent="0.3">
      <c r="A128" t="s">
        <v>216</v>
      </c>
      <c r="B128" s="2">
        <v>46169.784722222219</v>
      </c>
      <c r="C128" t="s">
        <v>217</v>
      </c>
      <c r="D128" t="s">
        <v>32</v>
      </c>
      <c r="E128" t="s">
        <v>3</v>
      </c>
      <c r="F128" t="s">
        <v>44</v>
      </c>
      <c r="G128">
        <v>1</v>
      </c>
      <c r="H128" s="3">
        <v>11000</v>
      </c>
      <c r="I128" s="4">
        <v>0.1</v>
      </c>
      <c r="J128" s="3">
        <v>9900</v>
      </c>
      <c r="K128" s="3">
        <v>9900</v>
      </c>
      <c r="L128" s="3">
        <v>6463.31</v>
      </c>
      <c r="M128" s="3">
        <v>3436.69</v>
      </c>
      <c r="N128" t="s">
        <v>16</v>
      </c>
      <c r="O128" t="s">
        <v>188</v>
      </c>
      <c r="P128">
        <v>5</v>
      </c>
    </row>
    <row r="129" spans="1:16" x14ac:dyDescent="0.3">
      <c r="A129" t="s">
        <v>218</v>
      </c>
      <c r="B129" s="2">
        <v>46170.386111111111</v>
      </c>
      <c r="C129" t="s">
        <v>219</v>
      </c>
      <c r="D129" t="s">
        <v>24</v>
      </c>
      <c r="E129" t="s">
        <v>3</v>
      </c>
      <c r="F129" t="s">
        <v>25</v>
      </c>
      <c r="G129">
        <v>5</v>
      </c>
      <c r="H129" s="3">
        <v>55000</v>
      </c>
      <c r="I129" s="4">
        <v>0.05</v>
      </c>
      <c r="J129" s="3">
        <v>52250</v>
      </c>
      <c r="K129" s="3">
        <v>261250</v>
      </c>
      <c r="L129" s="3">
        <v>177856.3</v>
      </c>
      <c r="M129" s="3">
        <v>83393.7</v>
      </c>
      <c r="N129" t="s">
        <v>5</v>
      </c>
      <c r="O129" t="s">
        <v>188</v>
      </c>
      <c r="P129">
        <v>5</v>
      </c>
    </row>
    <row r="130" spans="1:16" x14ac:dyDescent="0.3">
      <c r="A130" t="s">
        <v>220</v>
      </c>
      <c r="B130" s="2">
        <v>46170.835416666669</v>
      </c>
      <c r="C130" t="s">
        <v>221</v>
      </c>
      <c r="D130" t="s">
        <v>100</v>
      </c>
      <c r="E130" t="s">
        <v>14</v>
      </c>
      <c r="F130" t="s">
        <v>44</v>
      </c>
      <c r="G130">
        <v>1</v>
      </c>
      <c r="H130" s="3">
        <v>12000</v>
      </c>
      <c r="I130" s="4">
        <v>0</v>
      </c>
      <c r="J130" s="3">
        <v>12000</v>
      </c>
      <c r="K130" s="3">
        <v>12000</v>
      </c>
      <c r="L130" s="3">
        <v>8644.42</v>
      </c>
      <c r="M130" s="3">
        <v>3355.58</v>
      </c>
      <c r="N130" t="s">
        <v>33</v>
      </c>
      <c r="O130" t="s">
        <v>188</v>
      </c>
      <c r="P130">
        <v>5</v>
      </c>
    </row>
    <row r="131" spans="1:16" x14ac:dyDescent="0.3">
      <c r="A131" t="s">
        <v>222</v>
      </c>
      <c r="B131" s="2">
        <v>46171.79583333333</v>
      </c>
      <c r="C131" t="s">
        <v>91</v>
      </c>
      <c r="D131" t="s">
        <v>63</v>
      </c>
      <c r="E131" t="s">
        <v>29</v>
      </c>
      <c r="F131" t="s">
        <v>25</v>
      </c>
      <c r="G131">
        <v>4</v>
      </c>
      <c r="H131" s="3">
        <v>1800</v>
      </c>
      <c r="I131" s="4">
        <v>0</v>
      </c>
      <c r="J131" s="3">
        <v>1800</v>
      </c>
      <c r="K131" s="3">
        <v>7200</v>
      </c>
      <c r="L131" s="3">
        <v>5534.62</v>
      </c>
      <c r="M131" s="3">
        <v>1665.38</v>
      </c>
      <c r="N131" t="s">
        <v>19</v>
      </c>
      <c r="O131" t="s">
        <v>188</v>
      </c>
      <c r="P131">
        <v>5</v>
      </c>
    </row>
    <row r="132" spans="1:16" x14ac:dyDescent="0.3">
      <c r="A132" t="s">
        <v>223</v>
      </c>
      <c r="B132" s="2">
        <v>46171.561111111114</v>
      </c>
      <c r="C132" t="s">
        <v>54</v>
      </c>
      <c r="D132" t="s">
        <v>63</v>
      </c>
      <c r="E132" t="s">
        <v>29</v>
      </c>
      <c r="F132" t="s">
        <v>25</v>
      </c>
      <c r="G132">
        <v>5</v>
      </c>
      <c r="H132" s="3">
        <v>1800</v>
      </c>
      <c r="I132" s="4">
        <v>0</v>
      </c>
      <c r="J132" s="3">
        <v>1800</v>
      </c>
      <c r="K132" s="3">
        <v>9000</v>
      </c>
      <c r="L132" s="3">
        <v>6798.49</v>
      </c>
      <c r="M132" s="3">
        <v>2201.5100000000002</v>
      </c>
      <c r="N132" t="s">
        <v>5</v>
      </c>
      <c r="O132" t="s">
        <v>188</v>
      </c>
      <c r="P132">
        <v>5</v>
      </c>
    </row>
    <row r="133" spans="1:16" x14ac:dyDescent="0.3">
      <c r="A133" t="s">
        <v>224</v>
      </c>
      <c r="B133" s="2">
        <v>46171.526388888888</v>
      </c>
      <c r="C133" t="s">
        <v>86</v>
      </c>
      <c r="D133" t="s">
        <v>13</v>
      </c>
      <c r="E133" t="s">
        <v>14</v>
      </c>
      <c r="F133" t="s">
        <v>15</v>
      </c>
      <c r="G133">
        <v>2</v>
      </c>
      <c r="H133" s="3">
        <v>8500</v>
      </c>
      <c r="I133" s="4">
        <v>0</v>
      </c>
      <c r="J133" s="3">
        <v>8500</v>
      </c>
      <c r="K133" s="3">
        <v>17000</v>
      </c>
      <c r="L133" s="3">
        <v>13922.24</v>
      </c>
      <c r="M133" s="3">
        <v>3077.76</v>
      </c>
      <c r="N133" t="s">
        <v>16</v>
      </c>
      <c r="O133" t="s">
        <v>188</v>
      </c>
      <c r="P133">
        <v>5</v>
      </c>
    </row>
    <row r="134" spans="1:16" x14ac:dyDescent="0.3">
      <c r="A134" t="s">
        <v>225</v>
      </c>
      <c r="B134" s="2">
        <v>46171.647222222222</v>
      </c>
      <c r="C134" t="s">
        <v>21</v>
      </c>
      <c r="D134" t="s">
        <v>63</v>
      </c>
      <c r="E134" t="s">
        <v>29</v>
      </c>
      <c r="F134" t="s">
        <v>15</v>
      </c>
      <c r="G134">
        <v>2</v>
      </c>
      <c r="H134" s="3">
        <v>1800</v>
      </c>
      <c r="I134" s="4">
        <v>0.1</v>
      </c>
      <c r="J134" s="3">
        <v>1620</v>
      </c>
      <c r="K134" s="3">
        <v>3240</v>
      </c>
      <c r="L134" s="3">
        <v>2439.9699999999998</v>
      </c>
      <c r="M134" s="3">
        <v>800.03</v>
      </c>
      <c r="N134" t="s">
        <v>39</v>
      </c>
      <c r="O134" t="s">
        <v>188</v>
      </c>
      <c r="P134">
        <v>5</v>
      </c>
    </row>
    <row r="135" spans="1:16" x14ac:dyDescent="0.3">
      <c r="A135" t="s">
        <v>226</v>
      </c>
      <c r="B135" s="2">
        <v>46176.572916666664</v>
      </c>
      <c r="C135" t="s">
        <v>121</v>
      </c>
      <c r="D135" t="s">
        <v>9</v>
      </c>
      <c r="E135" t="s">
        <v>3</v>
      </c>
      <c r="F135" t="s">
        <v>4</v>
      </c>
      <c r="G135">
        <v>2</v>
      </c>
      <c r="H135" s="3">
        <v>15000</v>
      </c>
      <c r="I135" s="4">
        <v>0.15</v>
      </c>
      <c r="J135" s="3">
        <v>12750</v>
      </c>
      <c r="K135" s="3">
        <v>25500</v>
      </c>
      <c r="L135" s="3">
        <v>16221.68</v>
      </c>
      <c r="M135" s="3">
        <v>9278.32</v>
      </c>
      <c r="N135" t="s">
        <v>10</v>
      </c>
      <c r="O135" t="s">
        <v>227</v>
      </c>
      <c r="P135">
        <v>6</v>
      </c>
    </row>
    <row r="136" spans="1:16" x14ac:dyDescent="0.3">
      <c r="A136" t="s">
        <v>228</v>
      </c>
      <c r="B136" s="2">
        <v>46177.743750000001</v>
      </c>
      <c r="C136" t="s">
        <v>176</v>
      </c>
      <c r="D136" t="s">
        <v>24</v>
      </c>
      <c r="E136" t="s">
        <v>3</v>
      </c>
      <c r="F136" t="s">
        <v>15</v>
      </c>
      <c r="G136">
        <v>5</v>
      </c>
      <c r="H136" s="3">
        <v>55000</v>
      </c>
      <c r="I136" s="4">
        <v>0</v>
      </c>
      <c r="J136" s="3">
        <v>55000</v>
      </c>
      <c r="K136" s="3">
        <v>275000</v>
      </c>
      <c r="L136" s="3">
        <v>199041.9</v>
      </c>
      <c r="M136" s="3">
        <v>75958.100000000006</v>
      </c>
      <c r="N136" t="s">
        <v>39</v>
      </c>
      <c r="O136" t="s">
        <v>227</v>
      </c>
      <c r="P136">
        <v>6</v>
      </c>
    </row>
    <row r="137" spans="1:16" x14ac:dyDescent="0.3">
      <c r="A137" t="s">
        <v>229</v>
      </c>
      <c r="B137" s="2">
        <v>46177.780555555553</v>
      </c>
      <c r="C137" t="s">
        <v>199</v>
      </c>
      <c r="D137" t="s">
        <v>32</v>
      </c>
      <c r="E137" t="s">
        <v>3</v>
      </c>
      <c r="F137" t="s">
        <v>25</v>
      </c>
      <c r="G137">
        <v>3</v>
      </c>
      <c r="H137" s="3">
        <v>11000</v>
      </c>
      <c r="I137" s="4">
        <v>0.1</v>
      </c>
      <c r="J137" s="3">
        <v>9900</v>
      </c>
      <c r="K137" s="3">
        <v>29700</v>
      </c>
      <c r="L137" s="3">
        <v>19491.14</v>
      </c>
      <c r="M137" s="3">
        <v>10208.86</v>
      </c>
      <c r="N137" t="s">
        <v>33</v>
      </c>
      <c r="O137" t="s">
        <v>227</v>
      </c>
      <c r="P137">
        <v>6</v>
      </c>
    </row>
    <row r="138" spans="1:16" x14ac:dyDescent="0.3">
      <c r="A138" t="s">
        <v>230</v>
      </c>
      <c r="B138" s="2">
        <v>46178.756249999999</v>
      </c>
      <c r="C138" t="s">
        <v>43</v>
      </c>
      <c r="D138" t="s">
        <v>28</v>
      </c>
      <c r="E138" t="s">
        <v>29</v>
      </c>
      <c r="F138" t="s">
        <v>25</v>
      </c>
      <c r="G138">
        <v>2</v>
      </c>
      <c r="H138" s="3">
        <v>2200</v>
      </c>
      <c r="I138" s="4">
        <v>0.15</v>
      </c>
      <c r="J138" s="3">
        <v>1870</v>
      </c>
      <c r="K138" s="3">
        <v>3740</v>
      </c>
      <c r="L138" s="3">
        <v>3057.6</v>
      </c>
      <c r="M138" s="3">
        <v>682.4</v>
      </c>
      <c r="N138" t="s">
        <v>33</v>
      </c>
      <c r="O138" t="s">
        <v>227</v>
      </c>
      <c r="P138">
        <v>6</v>
      </c>
    </row>
    <row r="139" spans="1:16" x14ac:dyDescent="0.3">
      <c r="A139" t="s">
        <v>231</v>
      </c>
      <c r="B139" s="2">
        <v>46178.436111111114</v>
      </c>
      <c r="C139" t="s">
        <v>41</v>
      </c>
      <c r="D139" t="s">
        <v>32</v>
      </c>
      <c r="E139" t="s">
        <v>3</v>
      </c>
      <c r="F139" t="s">
        <v>44</v>
      </c>
      <c r="G139">
        <v>1</v>
      </c>
      <c r="H139" s="3">
        <v>11000</v>
      </c>
      <c r="I139" s="4">
        <v>0</v>
      </c>
      <c r="J139" s="3">
        <v>11000</v>
      </c>
      <c r="K139" s="3">
        <v>11000</v>
      </c>
      <c r="L139" s="3">
        <v>7105.46</v>
      </c>
      <c r="M139" s="3">
        <v>3894.54</v>
      </c>
      <c r="N139" t="s">
        <v>10</v>
      </c>
      <c r="O139" t="s">
        <v>227</v>
      </c>
      <c r="P139">
        <v>6</v>
      </c>
    </row>
    <row r="140" spans="1:16" x14ac:dyDescent="0.3">
      <c r="A140" t="s">
        <v>232</v>
      </c>
      <c r="B140" s="2">
        <v>46178.529166666667</v>
      </c>
      <c r="C140" t="s">
        <v>136</v>
      </c>
      <c r="D140" t="s">
        <v>24</v>
      </c>
      <c r="E140" t="s">
        <v>3</v>
      </c>
      <c r="F140" t="s">
        <v>44</v>
      </c>
      <c r="G140">
        <v>4</v>
      </c>
      <c r="H140" s="3">
        <v>55000</v>
      </c>
      <c r="I140" s="4">
        <v>0</v>
      </c>
      <c r="J140" s="3">
        <v>55000</v>
      </c>
      <c r="K140" s="3">
        <v>220000</v>
      </c>
      <c r="L140" s="3">
        <v>142211.75</v>
      </c>
      <c r="M140" s="3">
        <v>77788.25</v>
      </c>
      <c r="N140" t="s">
        <v>39</v>
      </c>
      <c r="O140" t="s">
        <v>227</v>
      </c>
      <c r="P140">
        <v>6</v>
      </c>
    </row>
    <row r="141" spans="1:16" x14ac:dyDescent="0.3">
      <c r="A141" t="s">
        <v>233</v>
      </c>
      <c r="B141" s="2">
        <v>46179.852083333331</v>
      </c>
      <c r="C141" t="s">
        <v>158</v>
      </c>
      <c r="D141" t="s">
        <v>47</v>
      </c>
      <c r="E141" t="s">
        <v>3</v>
      </c>
      <c r="F141" t="s">
        <v>15</v>
      </c>
      <c r="G141">
        <v>1</v>
      </c>
      <c r="H141" s="3">
        <v>28000</v>
      </c>
      <c r="I141" s="4">
        <v>0.1</v>
      </c>
      <c r="J141" s="3">
        <v>25200</v>
      </c>
      <c r="K141" s="3">
        <v>25200</v>
      </c>
      <c r="L141" s="3">
        <v>19005.89</v>
      </c>
      <c r="M141" s="3">
        <v>6194.11</v>
      </c>
      <c r="N141" t="s">
        <v>10</v>
      </c>
      <c r="O141" t="s">
        <v>227</v>
      </c>
      <c r="P141">
        <v>6</v>
      </c>
    </row>
    <row r="142" spans="1:16" x14ac:dyDescent="0.3">
      <c r="A142" t="s">
        <v>234</v>
      </c>
      <c r="B142" s="2">
        <v>46180.869444444441</v>
      </c>
      <c r="C142" t="s">
        <v>62</v>
      </c>
      <c r="D142" t="s">
        <v>47</v>
      </c>
      <c r="E142" t="s">
        <v>3</v>
      </c>
      <c r="F142" t="s">
        <v>44</v>
      </c>
      <c r="G142">
        <v>4</v>
      </c>
      <c r="H142" s="3">
        <v>28000</v>
      </c>
      <c r="I142" s="4">
        <v>0.05</v>
      </c>
      <c r="J142" s="3">
        <v>26600</v>
      </c>
      <c r="K142" s="3">
        <v>106400</v>
      </c>
      <c r="L142" s="3">
        <v>67534.91</v>
      </c>
      <c r="M142" s="3">
        <v>38865.089999999997</v>
      </c>
      <c r="N142" t="s">
        <v>5</v>
      </c>
      <c r="O142" t="s">
        <v>227</v>
      </c>
      <c r="P142">
        <v>6</v>
      </c>
    </row>
    <row r="143" spans="1:16" x14ac:dyDescent="0.3">
      <c r="A143" t="s">
        <v>235</v>
      </c>
      <c r="B143" s="2">
        <v>46181.84097222222</v>
      </c>
      <c r="C143" t="s">
        <v>49</v>
      </c>
      <c r="D143" t="s">
        <v>50</v>
      </c>
      <c r="E143" t="s">
        <v>29</v>
      </c>
      <c r="F143" t="s">
        <v>25</v>
      </c>
      <c r="G143">
        <v>5</v>
      </c>
      <c r="H143" s="3">
        <v>1200</v>
      </c>
      <c r="I143" s="4">
        <v>0.05</v>
      </c>
      <c r="J143" s="3">
        <v>1140</v>
      </c>
      <c r="K143" s="3">
        <v>5700</v>
      </c>
      <c r="L143" s="3">
        <v>4048.36</v>
      </c>
      <c r="M143" s="3">
        <v>1651.64</v>
      </c>
      <c r="N143" t="s">
        <v>16</v>
      </c>
      <c r="O143" t="s">
        <v>227</v>
      </c>
      <c r="P143">
        <v>6</v>
      </c>
    </row>
    <row r="144" spans="1:16" x14ac:dyDescent="0.3">
      <c r="A144" t="s">
        <v>236</v>
      </c>
      <c r="B144" s="2">
        <v>46181.838888888888</v>
      </c>
      <c r="C144" t="s">
        <v>91</v>
      </c>
      <c r="D144" t="s">
        <v>28</v>
      </c>
      <c r="E144" t="s">
        <v>29</v>
      </c>
      <c r="F144" t="s">
        <v>25</v>
      </c>
      <c r="G144">
        <v>2</v>
      </c>
      <c r="H144" s="3">
        <v>2200</v>
      </c>
      <c r="I144" s="4">
        <v>0</v>
      </c>
      <c r="J144" s="3">
        <v>2200</v>
      </c>
      <c r="K144" s="3">
        <v>4400</v>
      </c>
      <c r="L144" s="3">
        <v>3512.56</v>
      </c>
      <c r="M144" s="3">
        <v>887.44</v>
      </c>
      <c r="N144" t="s">
        <v>10</v>
      </c>
      <c r="O144" t="s">
        <v>227</v>
      </c>
      <c r="P144">
        <v>6</v>
      </c>
    </row>
    <row r="145" spans="1:16" x14ac:dyDescent="0.3">
      <c r="A145" t="s">
        <v>237</v>
      </c>
      <c r="B145" s="2">
        <v>46181.408333333333</v>
      </c>
      <c r="C145" t="s">
        <v>38</v>
      </c>
      <c r="D145" t="s">
        <v>2</v>
      </c>
      <c r="E145" t="s">
        <v>3</v>
      </c>
      <c r="F145" t="s">
        <v>25</v>
      </c>
      <c r="G145">
        <v>4</v>
      </c>
      <c r="H145" s="3">
        <v>3500</v>
      </c>
      <c r="I145" s="4">
        <v>0.05</v>
      </c>
      <c r="J145" s="3">
        <v>3325</v>
      </c>
      <c r="K145" s="3">
        <v>13300</v>
      </c>
      <c r="L145" s="3">
        <v>10882.09</v>
      </c>
      <c r="M145" s="3">
        <v>2417.91</v>
      </c>
      <c r="N145" t="s">
        <v>10</v>
      </c>
      <c r="O145" t="s">
        <v>227</v>
      </c>
      <c r="P145">
        <v>6</v>
      </c>
    </row>
    <row r="146" spans="1:16" x14ac:dyDescent="0.3">
      <c r="A146" t="s">
        <v>238</v>
      </c>
      <c r="B146" s="2">
        <v>46183.397916666669</v>
      </c>
      <c r="C146" t="s">
        <v>109</v>
      </c>
      <c r="D146" t="s">
        <v>28</v>
      </c>
      <c r="E146" t="s">
        <v>29</v>
      </c>
      <c r="F146" t="s">
        <v>4</v>
      </c>
      <c r="G146">
        <v>4</v>
      </c>
      <c r="H146" s="3">
        <v>2200</v>
      </c>
      <c r="I146" s="4">
        <v>0.15</v>
      </c>
      <c r="J146" s="3">
        <v>1870</v>
      </c>
      <c r="K146" s="3">
        <v>7480</v>
      </c>
      <c r="L146" s="3">
        <v>6079.14</v>
      </c>
      <c r="M146" s="3">
        <v>1400.86</v>
      </c>
      <c r="N146" t="s">
        <v>10</v>
      </c>
      <c r="O146" t="s">
        <v>227</v>
      </c>
      <c r="P146">
        <v>6</v>
      </c>
    </row>
    <row r="147" spans="1:16" x14ac:dyDescent="0.3">
      <c r="A147" t="s">
        <v>239</v>
      </c>
      <c r="B147" s="2">
        <v>46183.466666666667</v>
      </c>
      <c r="C147" t="s">
        <v>130</v>
      </c>
      <c r="D147" t="s">
        <v>50</v>
      </c>
      <c r="E147" t="s">
        <v>29</v>
      </c>
      <c r="F147" t="s">
        <v>4</v>
      </c>
      <c r="G147">
        <v>5</v>
      </c>
      <c r="H147" s="3">
        <v>1200</v>
      </c>
      <c r="I147" s="4">
        <v>0</v>
      </c>
      <c r="J147" s="3">
        <v>1200</v>
      </c>
      <c r="K147" s="3">
        <v>6000</v>
      </c>
      <c r="L147" s="3">
        <v>3930.21</v>
      </c>
      <c r="M147" s="3">
        <v>2069.79</v>
      </c>
      <c r="N147" t="s">
        <v>19</v>
      </c>
      <c r="O147" t="s">
        <v>227</v>
      </c>
      <c r="P147">
        <v>6</v>
      </c>
    </row>
    <row r="148" spans="1:16" x14ac:dyDescent="0.3">
      <c r="A148" t="s">
        <v>240</v>
      </c>
      <c r="B148" s="2">
        <v>46183.845138888886</v>
      </c>
      <c r="C148" t="s">
        <v>197</v>
      </c>
      <c r="D148" t="s">
        <v>50</v>
      </c>
      <c r="E148" t="s">
        <v>29</v>
      </c>
      <c r="F148" t="s">
        <v>4</v>
      </c>
      <c r="G148">
        <v>2</v>
      </c>
      <c r="H148" s="3">
        <v>1200</v>
      </c>
      <c r="I148" s="4">
        <v>0</v>
      </c>
      <c r="J148" s="3">
        <v>1200</v>
      </c>
      <c r="K148" s="3">
        <v>2400</v>
      </c>
      <c r="L148" s="3">
        <v>1953.11</v>
      </c>
      <c r="M148" s="3">
        <v>446.89</v>
      </c>
      <c r="N148" t="s">
        <v>10</v>
      </c>
      <c r="O148" t="s">
        <v>227</v>
      </c>
      <c r="P148">
        <v>6</v>
      </c>
    </row>
    <row r="149" spans="1:16" x14ac:dyDescent="0.3">
      <c r="A149" t="s">
        <v>241</v>
      </c>
      <c r="B149" s="2">
        <v>46183.598611111112</v>
      </c>
      <c r="C149" t="s">
        <v>56</v>
      </c>
      <c r="D149" t="s">
        <v>47</v>
      </c>
      <c r="E149" t="s">
        <v>3</v>
      </c>
      <c r="F149" t="s">
        <v>4</v>
      </c>
      <c r="G149">
        <v>1</v>
      </c>
      <c r="H149" s="3">
        <v>28000</v>
      </c>
      <c r="I149" s="4">
        <v>0</v>
      </c>
      <c r="J149" s="3">
        <v>28000</v>
      </c>
      <c r="K149" s="3">
        <v>28000</v>
      </c>
      <c r="L149" s="3">
        <v>18904.95</v>
      </c>
      <c r="M149" s="3">
        <v>9095.0499999999993</v>
      </c>
      <c r="N149" t="s">
        <v>16</v>
      </c>
      <c r="O149" t="s">
        <v>227</v>
      </c>
      <c r="P149">
        <v>6</v>
      </c>
    </row>
    <row r="150" spans="1:16" x14ac:dyDescent="0.3">
      <c r="A150" t="s">
        <v>242</v>
      </c>
      <c r="B150" s="2">
        <v>46185.824999999997</v>
      </c>
      <c r="C150" t="s">
        <v>91</v>
      </c>
      <c r="D150" t="s">
        <v>28</v>
      </c>
      <c r="E150" t="s">
        <v>29</v>
      </c>
      <c r="F150" t="s">
        <v>15</v>
      </c>
      <c r="G150">
        <v>2</v>
      </c>
      <c r="H150" s="3">
        <v>2200</v>
      </c>
      <c r="I150" s="4">
        <v>0.1</v>
      </c>
      <c r="J150" s="3">
        <v>1980</v>
      </c>
      <c r="K150" s="3">
        <v>3960</v>
      </c>
      <c r="L150" s="3">
        <v>3222.99</v>
      </c>
      <c r="M150" s="3">
        <v>737.01</v>
      </c>
      <c r="N150" t="s">
        <v>5</v>
      </c>
      <c r="O150" t="s">
        <v>227</v>
      </c>
      <c r="P150">
        <v>6</v>
      </c>
    </row>
    <row r="151" spans="1:16" x14ac:dyDescent="0.3">
      <c r="A151" t="s">
        <v>243</v>
      </c>
      <c r="B151" s="2">
        <v>46186.488194444442</v>
      </c>
      <c r="C151" t="s">
        <v>197</v>
      </c>
      <c r="D151" t="s">
        <v>2</v>
      </c>
      <c r="E151" t="s">
        <v>3</v>
      </c>
      <c r="F151" t="s">
        <v>4</v>
      </c>
      <c r="G151">
        <v>2</v>
      </c>
      <c r="H151" s="3">
        <v>3500</v>
      </c>
      <c r="I151" s="4">
        <v>0</v>
      </c>
      <c r="J151" s="3">
        <v>3500</v>
      </c>
      <c r="K151" s="3">
        <v>7000</v>
      </c>
      <c r="L151" s="3">
        <v>4445.67</v>
      </c>
      <c r="M151" s="3">
        <v>2554.33</v>
      </c>
      <c r="N151" t="s">
        <v>33</v>
      </c>
      <c r="O151" t="s">
        <v>227</v>
      </c>
      <c r="P151">
        <v>6</v>
      </c>
    </row>
    <row r="152" spans="1:16" x14ac:dyDescent="0.3">
      <c r="A152" t="s">
        <v>244</v>
      </c>
      <c r="B152" s="2">
        <v>46186.447916666664</v>
      </c>
      <c r="C152" t="s">
        <v>143</v>
      </c>
      <c r="D152" t="s">
        <v>2</v>
      </c>
      <c r="E152" t="s">
        <v>3</v>
      </c>
      <c r="F152" t="s">
        <v>15</v>
      </c>
      <c r="G152">
        <v>5</v>
      </c>
      <c r="H152" s="3">
        <v>3500</v>
      </c>
      <c r="I152" s="4">
        <v>0.05</v>
      </c>
      <c r="J152" s="3">
        <v>3325</v>
      </c>
      <c r="K152" s="3">
        <v>16625</v>
      </c>
      <c r="L152" s="3">
        <v>13258.7</v>
      </c>
      <c r="M152" s="3">
        <v>3366.3</v>
      </c>
      <c r="N152" t="s">
        <v>5</v>
      </c>
      <c r="O152" t="s">
        <v>227</v>
      </c>
      <c r="P152">
        <v>6</v>
      </c>
    </row>
    <row r="153" spans="1:16" x14ac:dyDescent="0.3">
      <c r="A153" t="s">
        <v>245</v>
      </c>
      <c r="B153" s="2">
        <v>46187.791666666664</v>
      </c>
      <c r="C153" t="s">
        <v>143</v>
      </c>
      <c r="D153" t="s">
        <v>63</v>
      </c>
      <c r="E153" t="s">
        <v>29</v>
      </c>
      <c r="F153" t="s">
        <v>4</v>
      </c>
      <c r="G153">
        <v>1</v>
      </c>
      <c r="H153" s="3">
        <v>1800</v>
      </c>
      <c r="I153" s="4">
        <v>0</v>
      </c>
      <c r="J153" s="3">
        <v>1800</v>
      </c>
      <c r="K153" s="3">
        <v>1800</v>
      </c>
      <c r="L153" s="3">
        <v>1355.02</v>
      </c>
      <c r="M153" s="3">
        <v>444.98</v>
      </c>
      <c r="N153" t="s">
        <v>16</v>
      </c>
      <c r="O153" t="s">
        <v>227</v>
      </c>
      <c r="P153">
        <v>6</v>
      </c>
    </row>
    <row r="154" spans="1:16" x14ac:dyDescent="0.3">
      <c r="A154" t="s">
        <v>246</v>
      </c>
      <c r="B154" s="2">
        <v>46188.468055555553</v>
      </c>
      <c r="C154" t="s">
        <v>72</v>
      </c>
      <c r="D154" t="s">
        <v>47</v>
      </c>
      <c r="E154" t="s">
        <v>3</v>
      </c>
      <c r="F154" t="s">
        <v>25</v>
      </c>
      <c r="G154">
        <v>3</v>
      </c>
      <c r="H154" s="3">
        <v>28000</v>
      </c>
      <c r="I154" s="4">
        <v>0.15</v>
      </c>
      <c r="J154" s="3">
        <v>23800</v>
      </c>
      <c r="K154" s="3">
        <v>71400</v>
      </c>
      <c r="L154" s="3">
        <v>50330.84</v>
      </c>
      <c r="M154" s="3">
        <v>21069.16</v>
      </c>
      <c r="N154" t="s">
        <v>5</v>
      </c>
      <c r="O154" t="s">
        <v>227</v>
      </c>
      <c r="P154">
        <v>6</v>
      </c>
    </row>
    <row r="155" spans="1:16" x14ac:dyDescent="0.3">
      <c r="A155" t="s">
        <v>247</v>
      </c>
      <c r="B155" s="2">
        <v>46188.840277777781</v>
      </c>
      <c r="C155" t="s">
        <v>130</v>
      </c>
      <c r="D155" t="s">
        <v>28</v>
      </c>
      <c r="E155" t="s">
        <v>29</v>
      </c>
      <c r="F155" t="s">
        <v>44</v>
      </c>
      <c r="G155">
        <v>4</v>
      </c>
      <c r="H155" s="3">
        <v>2200</v>
      </c>
      <c r="I155" s="4">
        <v>0.05</v>
      </c>
      <c r="J155" s="3">
        <v>2090</v>
      </c>
      <c r="K155" s="3">
        <v>8360</v>
      </c>
      <c r="L155" s="3">
        <v>6845.5</v>
      </c>
      <c r="M155" s="3">
        <v>1514.5</v>
      </c>
      <c r="N155" t="s">
        <v>5</v>
      </c>
      <c r="O155" t="s">
        <v>227</v>
      </c>
      <c r="P155">
        <v>6</v>
      </c>
    </row>
    <row r="156" spans="1:16" x14ac:dyDescent="0.3">
      <c r="A156" t="s">
        <v>248</v>
      </c>
      <c r="B156" s="2">
        <v>46188.4</v>
      </c>
      <c r="C156" t="s">
        <v>208</v>
      </c>
      <c r="D156" t="s">
        <v>63</v>
      </c>
      <c r="E156" t="s">
        <v>29</v>
      </c>
      <c r="F156" t="s">
        <v>25</v>
      </c>
      <c r="G156">
        <v>1</v>
      </c>
      <c r="H156" s="3">
        <v>1800</v>
      </c>
      <c r="I156" s="4">
        <v>0</v>
      </c>
      <c r="J156" s="3">
        <v>1800</v>
      </c>
      <c r="K156" s="3">
        <v>1800</v>
      </c>
      <c r="L156" s="3">
        <v>1233.74</v>
      </c>
      <c r="M156" s="3">
        <v>566.26</v>
      </c>
      <c r="N156" t="s">
        <v>10</v>
      </c>
      <c r="O156" t="s">
        <v>227</v>
      </c>
      <c r="P156">
        <v>6</v>
      </c>
    </row>
    <row r="157" spans="1:16" x14ac:dyDescent="0.3">
      <c r="A157" t="s">
        <v>249</v>
      </c>
      <c r="B157" s="2">
        <v>46188.399305555555</v>
      </c>
      <c r="C157" t="s">
        <v>65</v>
      </c>
      <c r="D157" t="s">
        <v>13</v>
      </c>
      <c r="E157" t="s">
        <v>14</v>
      </c>
      <c r="F157" t="s">
        <v>15</v>
      </c>
      <c r="G157">
        <v>1</v>
      </c>
      <c r="H157" s="3">
        <v>8500</v>
      </c>
      <c r="I157" s="4">
        <v>0</v>
      </c>
      <c r="J157" s="3">
        <v>8500</v>
      </c>
      <c r="K157" s="3">
        <v>8500</v>
      </c>
      <c r="L157" s="3">
        <v>5778.1</v>
      </c>
      <c r="M157" s="3">
        <v>2721.9</v>
      </c>
      <c r="N157" t="s">
        <v>19</v>
      </c>
      <c r="O157" t="s">
        <v>227</v>
      </c>
      <c r="P157">
        <v>6</v>
      </c>
    </row>
    <row r="158" spans="1:16" x14ac:dyDescent="0.3">
      <c r="A158" t="s">
        <v>250</v>
      </c>
      <c r="B158" s="2">
        <v>46193.767361111109</v>
      </c>
      <c r="C158" t="s">
        <v>251</v>
      </c>
      <c r="D158" t="s">
        <v>13</v>
      </c>
      <c r="E158" t="s">
        <v>14</v>
      </c>
      <c r="F158" t="s">
        <v>15</v>
      </c>
      <c r="G158">
        <v>3</v>
      </c>
      <c r="H158" s="3">
        <v>8500</v>
      </c>
      <c r="I158" s="4">
        <v>0</v>
      </c>
      <c r="J158" s="3">
        <v>8500</v>
      </c>
      <c r="K158" s="3">
        <v>25500</v>
      </c>
      <c r="L158" s="3">
        <v>19880.98</v>
      </c>
      <c r="M158" s="3">
        <v>5619.02</v>
      </c>
      <c r="N158" t="s">
        <v>5</v>
      </c>
      <c r="O158" t="s">
        <v>227</v>
      </c>
      <c r="P158">
        <v>6</v>
      </c>
    </row>
    <row r="159" spans="1:16" x14ac:dyDescent="0.3">
      <c r="A159" t="s">
        <v>252</v>
      </c>
      <c r="B159" s="2">
        <v>46194.445833333331</v>
      </c>
      <c r="C159" t="s">
        <v>89</v>
      </c>
      <c r="D159" t="s">
        <v>63</v>
      </c>
      <c r="E159" t="s">
        <v>29</v>
      </c>
      <c r="F159" t="s">
        <v>44</v>
      </c>
      <c r="G159">
        <v>4</v>
      </c>
      <c r="H159" s="3">
        <v>1800</v>
      </c>
      <c r="I159" s="4">
        <v>0.05</v>
      </c>
      <c r="J159" s="3">
        <v>1710</v>
      </c>
      <c r="K159" s="3">
        <v>6840</v>
      </c>
      <c r="L159" s="3">
        <v>4486.01</v>
      </c>
      <c r="M159" s="3">
        <v>2353.9899999999998</v>
      </c>
      <c r="N159" t="s">
        <v>5</v>
      </c>
      <c r="O159" t="s">
        <v>227</v>
      </c>
      <c r="P159">
        <v>6</v>
      </c>
    </row>
    <row r="160" spans="1:16" x14ac:dyDescent="0.3">
      <c r="A160" t="s">
        <v>253</v>
      </c>
      <c r="B160" s="2">
        <v>46195.681250000001</v>
      </c>
      <c r="C160" t="s">
        <v>18</v>
      </c>
      <c r="D160" t="s">
        <v>2</v>
      </c>
      <c r="E160" t="s">
        <v>3</v>
      </c>
      <c r="F160" t="s">
        <v>25</v>
      </c>
      <c r="G160">
        <v>2</v>
      </c>
      <c r="H160" s="3">
        <v>3500</v>
      </c>
      <c r="I160" s="4">
        <v>0</v>
      </c>
      <c r="J160" s="3">
        <v>3500</v>
      </c>
      <c r="K160" s="3">
        <v>7000</v>
      </c>
      <c r="L160" s="3">
        <v>5239.57</v>
      </c>
      <c r="M160" s="3">
        <v>1760.43</v>
      </c>
      <c r="N160" t="s">
        <v>39</v>
      </c>
      <c r="O160" t="s">
        <v>227</v>
      </c>
      <c r="P160">
        <v>6</v>
      </c>
    </row>
    <row r="161" spans="1:16" x14ac:dyDescent="0.3">
      <c r="A161" t="s">
        <v>254</v>
      </c>
      <c r="B161" s="2">
        <v>46196.456944444442</v>
      </c>
      <c r="C161" t="s">
        <v>121</v>
      </c>
      <c r="D161" t="s">
        <v>32</v>
      </c>
      <c r="E161" t="s">
        <v>3</v>
      </c>
      <c r="F161" t="s">
        <v>15</v>
      </c>
      <c r="G161">
        <v>5</v>
      </c>
      <c r="H161" s="3">
        <v>11000</v>
      </c>
      <c r="I161" s="4">
        <v>0.05</v>
      </c>
      <c r="J161" s="3">
        <v>10450</v>
      </c>
      <c r="K161" s="3">
        <v>52250</v>
      </c>
      <c r="L161" s="3">
        <v>40303.78</v>
      </c>
      <c r="M161" s="3">
        <v>11946.22</v>
      </c>
      <c r="N161" t="s">
        <v>16</v>
      </c>
      <c r="O161" t="s">
        <v>227</v>
      </c>
      <c r="P161">
        <v>6</v>
      </c>
    </row>
    <row r="162" spans="1:16" x14ac:dyDescent="0.3">
      <c r="A162" t="s">
        <v>255</v>
      </c>
      <c r="B162" s="2">
        <v>46197.477777777778</v>
      </c>
      <c r="C162" t="s">
        <v>60</v>
      </c>
      <c r="D162" t="s">
        <v>2</v>
      </c>
      <c r="E162" t="s">
        <v>3</v>
      </c>
      <c r="F162" t="s">
        <v>25</v>
      </c>
      <c r="G162">
        <v>1</v>
      </c>
      <c r="H162" s="3">
        <v>3500</v>
      </c>
      <c r="I162" s="4">
        <v>0</v>
      </c>
      <c r="J162" s="3">
        <v>3500</v>
      </c>
      <c r="K162" s="3">
        <v>3500</v>
      </c>
      <c r="L162" s="3">
        <v>2722.62</v>
      </c>
      <c r="M162" s="3">
        <v>777.38</v>
      </c>
      <c r="N162" t="s">
        <v>39</v>
      </c>
      <c r="O162" t="s">
        <v>227</v>
      </c>
      <c r="P162">
        <v>6</v>
      </c>
    </row>
    <row r="163" spans="1:16" x14ac:dyDescent="0.3">
      <c r="A163" t="s">
        <v>256</v>
      </c>
      <c r="B163" s="2">
        <v>46198.345138888886</v>
      </c>
      <c r="C163" t="s">
        <v>18</v>
      </c>
      <c r="D163" t="s">
        <v>2</v>
      </c>
      <c r="E163" t="s">
        <v>3</v>
      </c>
      <c r="F163" t="s">
        <v>4</v>
      </c>
      <c r="G163">
        <v>3</v>
      </c>
      <c r="H163" s="3">
        <v>3500</v>
      </c>
      <c r="I163" s="4">
        <v>0.05</v>
      </c>
      <c r="J163" s="3">
        <v>3325</v>
      </c>
      <c r="K163" s="3">
        <v>9975</v>
      </c>
      <c r="L163" s="3">
        <v>8091.89</v>
      </c>
      <c r="M163" s="3">
        <v>1883.11</v>
      </c>
      <c r="N163" t="s">
        <v>33</v>
      </c>
      <c r="O163" t="s">
        <v>227</v>
      </c>
      <c r="P163">
        <v>6</v>
      </c>
    </row>
    <row r="164" spans="1:16" x14ac:dyDescent="0.3">
      <c r="A164" t="s">
        <v>257</v>
      </c>
      <c r="B164" s="2">
        <v>46198.791666666664</v>
      </c>
      <c r="C164" t="s">
        <v>60</v>
      </c>
      <c r="D164" t="s">
        <v>28</v>
      </c>
      <c r="E164" t="s">
        <v>29</v>
      </c>
      <c r="F164" t="s">
        <v>44</v>
      </c>
      <c r="G164">
        <v>3</v>
      </c>
      <c r="H164" s="3">
        <v>2200</v>
      </c>
      <c r="I164" s="4">
        <v>0</v>
      </c>
      <c r="J164" s="3">
        <v>2200</v>
      </c>
      <c r="K164" s="3">
        <v>6600</v>
      </c>
      <c r="L164" s="3">
        <v>4368.83</v>
      </c>
      <c r="M164" s="3">
        <v>2231.17</v>
      </c>
      <c r="N164" t="s">
        <v>10</v>
      </c>
      <c r="O164" t="s">
        <v>227</v>
      </c>
      <c r="P164">
        <v>6</v>
      </c>
    </row>
    <row r="165" spans="1:16" x14ac:dyDescent="0.3">
      <c r="A165" t="s">
        <v>258</v>
      </c>
      <c r="B165" s="2">
        <v>46199.629166666666</v>
      </c>
      <c r="C165" t="s">
        <v>172</v>
      </c>
      <c r="D165" t="s">
        <v>50</v>
      </c>
      <c r="E165" t="s">
        <v>29</v>
      </c>
      <c r="F165" t="s">
        <v>4</v>
      </c>
      <c r="G165">
        <v>3</v>
      </c>
      <c r="H165" s="3">
        <v>1200</v>
      </c>
      <c r="I165" s="4">
        <v>0.05</v>
      </c>
      <c r="J165" s="3">
        <v>1140</v>
      </c>
      <c r="K165" s="3">
        <v>3420</v>
      </c>
      <c r="L165" s="3">
        <v>2505.02</v>
      </c>
      <c r="M165" s="3">
        <v>914.98</v>
      </c>
      <c r="N165" t="s">
        <v>5</v>
      </c>
      <c r="O165" t="s">
        <v>227</v>
      </c>
      <c r="P165">
        <v>6</v>
      </c>
    </row>
    <row r="166" spans="1:16" x14ac:dyDescent="0.3">
      <c r="A166" t="s">
        <v>259</v>
      </c>
      <c r="B166" s="2">
        <v>46200.582638888889</v>
      </c>
      <c r="C166" t="s">
        <v>260</v>
      </c>
      <c r="D166" t="s">
        <v>13</v>
      </c>
      <c r="E166" t="s">
        <v>14</v>
      </c>
      <c r="F166" t="s">
        <v>4</v>
      </c>
      <c r="G166">
        <v>4</v>
      </c>
      <c r="H166" s="3">
        <v>8500</v>
      </c>
      <c r="I166" s="4">
        <v>0</v>
      </c>
      <c r="J166" s="3">
        <v>8500</v>
      </c>
      <c r="K166" s="3">
        <v>34000</v>
      </c>
      <c r="L166" s="3">
        <v>27798.97</v>
      </c>
      <c r="M166" s="3">
        <v>6201.03</v>
      </c>
      <c r="N166" t="s">
        <v>10</v>
      </c>
      <c r="O166" t="s">
        <v>227</v>
      </c>
      <c r="P166">
        <v>6</v>
      </c>
    </row>
    <row r="167" spans="1:16" x14ac:dyDescent="0.3">
      <c r="A167" t="s">
        <v>261</v>
      </c>
      <c r="B167" s="2">
        <v>46201.443055555559</v>
      </c>
      <c r="C167" t="s">
        <v>219</v>
      </c>
      <c r="D167" t="s">
        <v>13</v>
      </c>
      <c r="E167" t="s">
        <v>14</v>
      </c>
      <c r="F167" t="s">
        <v>44</v>
      </c>
      <c r="G167">
        <v>2</v>
      </c>
      <c r="H167" s="3">
        <v>8500</v>
      </c>
      <c r="I167" s="4">
        <v>0.05</v>
      </c>
      <c r="J167" s="3">
        <v>8075</v>
      </c>
      <c r="K167" s="3">
        <v>16150</v>
      </c>
      <c r="L167" s="3">
        <v>10782.69</v>
      </c>
      <c r="M167" s="3">
        <v>5367.31</v>
      </c>
      <c r="N167" t="s">
        <v>5</v>
      </c>
      <c r="O167" t="s">
        <v>227</v>
      </c>
      <c r="P167">
        <v>6</v>
      </c>
    </row>
    <row r="168" spans="1:16" x14ac:dyDescent="0.3">
      <c r="A168" t="s">
        <v>262</v>
      </c>
      <c r="B168" s="2">
        <v>46201.684027777781</v>
      </c>
      <c r="C168" t="s">
        <v>197</v>
      </c>
      <c r="D168" t="s">
        <v>47</v>
      </c>
      <c r="E168" t="s">
        <v>3</v>
      </c>
      <c r="F168" t="s">
        <v>25</v>
      </c>
      <c r="G168">
        <v>3</v>
      </c>
      <c r="H168" s="3">
        <v>28000</v>
      </c>
      <c r="I168" s="4">
        <v>0</v>
      </c>
      <c r="J168" s="3">
        <v>28000</v>
      </c>
      <c r="K168" s="3">
        <v>84000</v>
      </c>
      <c r="L168" s="3">
        <v>57602.82</v>
      </c>
      <c r="M168" s="3">
        <v>26397.18</v>
      </c>
      <c r="N168" t="s">
        <v>19</v>
      </c>
      <c r="O168" t="s">
        <v>227</v>
      </c>
      <c r="P168">
        <v>6</v>
      </c>
    </row>
    <row r="169" spans="1:16" x14ac:dyDescent="0.3">
      <c r="A169" t="s">
        <v>263</v>
      </c>
      <c r="B169" s="2">
        <v>46202.737500000003</v>
      </c>
      <c r="C169" t="s">
        <v>165</v>
      </c>
      <c r="D169" t="s">
        <v>9</v>
      </c>
      <c r="E169" t="s">
        <v>3</v>
      </c>
      <c r="F169" t="s">
        <v>44</v>
      </c>
      <c r="G169">
        <v>5</v>
      </c>
      <c r="H169" s="3">
        <v>15000</v>
      </c>
      <c r="I169" s="4">
        <v>0</v>
      </c>
      <c r="J169" s="3">
        <v>15000</v>
      </c>
      <c r="K169" s="3">
        <v>75000</v>
      </c>
      <c r="L169" s="3">
        <v>47567.21</v>
      </c>
      <c r="M169" s="3">
        <v>27432.79</v>
      </c>
      <c r="N169" t="s">
        <v>19</v>
      </c>
      <c r="O169" t="s">
        <v>227</v>
      </c>
      <c r="P169">
        <v>6</v>
      </c>
    </row>
    <row r="170" spans="1:16" x14ac:dyDescent="0.3">
      <c r="A170" t="s">
        <v>264</v>
      </c>
      <c r="B170" s="2">
        <v>46202.65625</v>
      </c>
      <c r="C170" t="s">
        <v>23</v>
      </c>
      <c r="D170" t="s">
        <v>2</v>
      </c>
      <c r="E170" t="s">
        <v>3</v>
      </c>
      <c r="F170" t="s">
        <v>4</v>
      </c>
      <c r="G170">
        <v>3</v>
      </c>
      <c r="H170" s="3">
        <v>3500</v>
      </c>
      <c r="I170" s="4">
        <v>0</v>
      </c>
      <c r="J170" s="3">
        <v>3500</v>
      </c>
      <c r="K170" s="3">
        <v>10500</v>
      </c>
      <c r="L170" s="3">
        <v>7083.44</v>
      </c>
      <c r="M170" s="3">
        <v>3416.56</v>
      </c>
      <c r="N170" t="s">
        <v>10</v>
      </c>
      <c r="O170" t="s">
        <v>227</v>
      </c>
      <c r="P170">
        <v>6</v>
      </c>
    </row>
    <row r="171" spans="1:16" x14ac:dyDescent="0.3">
      <c r="A171" t="s">
        <v>265</v>
      </c>
      <c r="B171" s="2">
        <v>46204.646527777775</v>
      </c>
      <c r="C171" t="s">
        <v>1</v>
      </c>
      <c r="D171" t="s">
        <v>63</v>
      </c>
      <c r="E171" t="s">
        <v>29</v>
      </c>
      <c r="F171" t="s">
        <v>15</v>
      </c>
      <c r="G171">
        <v>1</v>
      </c>
      <c r="H171" s="3">
        <v>1800</v>
      </c>
      <c r="I171" s="4">
        <v>0.1</v>
      </c>
      <c r="J171" s="3">
        <v>1620</v>
      </c>
      <c r="K171" s="3">
        <v>1620</v>
      </c>
      <c r="L171" s="3">
        <v>1140.79</v>
      </c>
      <c r="M171" s="3">
        <v>479.21</v>
      </c>
      <c r="N171" t="s">
        <v>39</v>
      </c>
      <c r="O171" t="s">
        <v>266</v>
      </c>
      <c r="P171">
        <v>7</v>
      </c>
    </row>
    <row r="172" spans="1:16" x14ac:dyDescent="0.3">
      <c r="A172" t="s">
        <v>267</v>
      </c>
      <c r="B172" s="2">
        <v>46204.699305555558</v>
      </c>
      <c r="C172" t="s">
        <v>60</v>
      </c>
      <c r="D172" t="s">
        <v>24</v>
      </c>
      <c r="E172" t="s">
        <v>3</v>
      </c>
      <c r="F172" t="s">
        <v>44</v>
      </c>
      <c r="G172">
        <v>3</v>
      </c>
      <c r="H172" s="3">
        <v>55000</v>
      </c>
      <c r="I172" s="4">
        <v>0.05</v>
      </c>
      <c r="J172" s="3">
        <v>52250</v>
      </c>
      <c r="K172" s="3">
        <v>156750</v>
      </c>
      <c r="L172" s="3">
        <v>113750.34</v>
      </c>
      <c r="M172" s="3">
        <v>42999.66</v>
      </c>
      <c r="N172" t="s">
        <v>16</v>
      </c>
      <c r="O172" t="s">
        <v>266</v>
      </c>
      <c r="P172">
        <v>7</v>
      </c>
    </row>
    <row r="173" spans="1:16" x14ac:dyDescent="0.3">
      <c r="A173" t="s">
        <v>268</v>
      </c>
      <c r="B173" s="2">
        <v>46205.599999999999</v>
      </c>
      <c r="C173" t="s">
        <v>115</v>
      </c>
      <c r="D173" t="s">
        <v>63</v>
      </c>
      <c r="E173" t="s">
        <v>29</v>
      </c>
      <c r="F173" t="s">
        <v>15</v>
      </c>
      <c r="G173">
        <v>1</v>
      </c>
      <c r="H173" s="3">
        <v>1800</v>
      </c>
      <c r="I173" s="4">
        <v>0</v>
      </c>
      <c r="J173" s="3">
        <v>1800</v>
      </c>
      <c r="K173" s="3">
        <v>1800</v>
      </c>
      <c r="L173" s="3">
        <v>1433.73</v>
      </c>
      <c r="M173" s="3">
        <v>366.27</v>
      </c>
      <c r="N173" t="s">
        <v>19</v>
      </c>
      <c r="O173" t="s">
        <v>266</v>
      </c>
      <c r="P173">
        <v>7</v>
      </c>
    </row>
    <row r="174" spans="1:16" x14ac:dyDescent="0.3">
      <c r="A174" t="s">
        <v>269</v>
      </c>
      <c r="B174" s="2">
        <v>46206.711805555555</v>
      </c>
      <c r="C174" t="s">
        <v>143</v>
      </c>
      <c r="D174" t="s">
        <v>2</v>
      </c>
      <c r="E174" t="s">
        <v>3</v>
      </c>
      <c r="F174" t="s">
        <v>4</v>
      </c>
      <c r="G174">
        <v>4</v>
      </c>
      <c r="H174" s="3">
        <v>3500</v>
      </c>
      <c r="I174" s="4">
        <v>0</v>
      </c>
      <c r="J174" s="3">
        <v>3500</v>
      </c>
      <c r="K174" s="3">
        <v>14000</v>
      </c>
      <c r="L174" s="3">
        <v>11298.85</v>
      </c>
      <c r="M174" s="3">
        <v>2701.15</v>
      </c>
      <c r="N174" t="s">
        <v>39</v>
      </c>
      <c r="O174" t="s">
        <v>266</v>
      </c>
      <c r="P174">
        <v>7</v>
      </c>
    </row>
    <row r="175" spans="1:16" x14ac:dyDescent="0.3">
      <c r="A175" t="s">
        <v>270</v>
      </c>
      <c r="B175" s="2">
        <v>46206.808333333334</v>
      </c>
      <c r="C175" t="s">
        <v>271</v>
      </c>
      <c r="D175" t="s">
        <v>50</v>
      </c>
      <c r="E175" t="s">
        <v>29</v>
      </c>
      <c r="F175" t="s">
        <v>4</v>
      </c>
      <c r="G175">
        <v>4</v>
      </c>
      <c r="H175" s="3">
        <v>1200</v>
      </c>
      <c r="I175" s="4">
        <v>0</v>
      </c>
      <c r="J175" s="3">
        <v>1200</v>
      </c>
      <c r="K175" s="3">
        <v>4800</v>
      </c>
      <c r="L175" s="3">
        <v>3903.27</v>
      </c>
      <c r="M175" s="3">
        <v>896.73</v>
      </c>
      <c r="N175" t="s">
        <v>10</v>
      </c>
      <c r="O175" t="s">
        <v>266</v>
      </c>
      <c r="P175">
        <v>7</v>
      </c>
    </row>
    <row r="176" spans="1:16" x14ac:dyDescent="0.3">
      <c r="A176" t="s">
        <v>272</v>
      </c>
      <c r="B176" s="2">
        <v>46207.364583333336</v>
      </c>
      <c r="C176" t="s">
        <v>70</v>
      </c>
      <c r="D176" t="s">
        <v>9</v>
      </c>
      <c r="E176" t="s">
        <v>3</v>
      </c>
      <c r="F176" t="s">
        <v>44</v>
      </c>
      <c r="G176">
        <v>4</v>
      </c>
      <c r="H176" s="3">
        <v>15000</v>
      </c>
      <c r="I176" s="4">
        <v>0</v>
      </c>
      <c r="J176" s="3">
        <v>15000</v>
      </c>
      <c r="K176" s="3">
        <v>60000</v>
      </c>
      <c r="L176" s="3">
        <v>37449.269999999997</v>
      </c>
      <c r="M176" s="3">
        <v>22550.73</v>
      </c>
      <c r="N176" t="s">
        <v>33</v>
      </c>
      <c r="O176" t="s">
        <v>266</v>
      </c>
      <c r="P176">
        <v>7</v>
      </c>
    </row>
    <row r="177" spans="1:16" x14ac:dyDescent="0.3">
      <c r="A177" t="s">
        <v>273</v>
      </c>
      <c r="B177" s="2">
        <v>46207.594444444447</v>
      </c>
      <c r="C177" t="s">
        <v>199</v>
      </c>
      <c r="D177" t="s">
        <v>100</v>
      </c>
      <c r="E177" t="s">
        <v>14</v>
      </c>
      <c r="F177" t="s">
        <v>44</v>
      </c>
      <c r="G177">
        <v>2</v>
      </c>
      <c r="H177" s="3">
        <v>12000</v>
      </c>
      <c r="I177" s="4">
        <v>0</v>
      </c>
      <c r="J177" s="3">
        <v>12000</v>
      </c>
      <c r="K177" s="3">
        <v>24000</v>
      </c>
      <c r="L177" s="3">
        <v>15055.93</v>
      </c>
      <c r="M177" s="3">
        <v>8944.07</v>
      </c>
      <c r="N177" t="s">
        <v>19</v>
      </c>
      <c r="O177" t="s">
        <v>266</v>
      </c>
      <c r="P177">
        <v>7</v>
      </c>
    </row>
    <row r="178" spans="1:16" x14ac:dyDescent="0.3">
      <c r="A178" t="s">
        <v>274</v>
      </c>
      <c r="B178" s="2">
        <v>46208.525000000001</v>
      </c>
      <c r="C178" t="s">
        <v>18</v>
      </c>
      <c r="D178" t="s">
        <v>9</v>
      </c>
      <c r="E178" t="s">
        <v>3</v>
      </c>
      <c r="F178" t="s">
        <v>25</v>
      </c>
      <c r="G178">
        <v>3</v>
      </c>
      <c r="H178" s="3">
        <v>15000</v>
      </c>
      <c r="I178" s="4">
        <v>0.1</v>
      </c>
      <c r="J178" s="3">
        <v>13500</v>
      </c>
      <c r="K178" s="3">
        <v>40500</v>
      </c>
      <c r="L178" s="3">
        <v>29285.8</v>
      </c>
      <c r="M178" s="3">
        <v>11214.2</v>
      </c>
      <c r="N178" t="s">
        <v>10</v>
      </c>
      <c r="O178" t="s">
        <v>266</v>
      </c>
      <c r="P178">
        <v>7</v>
      </c>
    </row>
    <row r="179" spans="1:16" x14ac:dyDescent="0.3">
      <c r="A179" t="s">
        <v>275</v>
      </c>
      <c r="B179" s="2">
        <v>46210.538888888892</v>
      </c>
      <c r="C179" t="s">
        <v>109</v>
      </c>
      <c r="D179" t="s">
        <v>28</v>
      </c>
      <c r="E179" t="s">
        <v>29</v>
      </c>
      <c r="F179" t="s">
        <v>4</v>
      </c>
      <c r="G179">
        <v>1</v>
      </c>
      <c r="H179" s="3">
        <v>2200</v>
      </c>
      <c r="I179" s="4">
        <v>0</v>
      </c>
      <c r="J179" s="3">
        <v>2200</v>
      </c>
      <c r="K179" s="3">
        <v>2200</v>
      </c>
      <c r="L179" s="3">
        <v>1655.95</v>
      </c>
      <c r="M179" s="3">
        <v>544.04999999999995</v>
      </c>
      <c r="N179" t="s">
        <v>10</v>
      </c>
      <c r="O179" t="s">
        <v>266</v>
      </c>
      <c r="P179">
        <v>7</v>
      </c>
    </row>
    <row r="180" spans="1:16" x14ac:dyDescent="0.3">
      <c r="A180" t="s">
        <v>276</v>
      </c>
      <c r="B180" s="2">
        <v>46210.738888888889</v>
      </c>
      <c r="C180" t="s">
        <v>127</v>
      </c>
      <c r="D180" t="s">
        <v>50</v>
      </c>
      <c r="E180" t="s">
        <v>29</v>
      </c>
      <c r="F180" t="s">
        <v>25</v>
      </c>
      <c r="G180">
        <v>4</v>
      </c>
      <c r="H180" s="3">
        <v>1200</v>
      </c>
      <c r="I180" s="4">
        <v>0</v>
      </c>
      <c r="J180" s="3">
        <v>1200</v>
      </c>
      <c r="K180" s="3">
        <v>4800</v>
      </c>
      <c r="L180" s="3">
        <v>3128.77</v>
      </c>
      <c r="M180" s="3">
        <v>1671.23</v>
      </c>
      <c r="N180" t="s">
        <v>16</v>
      </c>
      <c r="O180" t="s">
        <v>266</v>
      </c>
      <c r="P180">
        <v>7</v>
      </c>
    </row>
    <row r="181" spans="1:16" x14ac:dyDescent="0.3">
      <c r="A181" t="s">
        <v>277</v>
      </c>
      <c r="B181" s="2">
        <v>46210.661111111112</v>
      </c>
      <c r="C181" t="s">
        <v>46</v>
      </c>
      <c r="D181" t="s">
        <v>13</v>
      </c>
      <c r="E181" t="s">
        <v>14</v>
      </c>
      <c r="F181" t="s">
        <v>25</v>
      </c>
      <c r="G181">
        <v>3</v>
      </c>
      <c r="H181" s="3">
        <v>8500</v>
      </c>
      <c r="I181" s="4">
        <v>0.1</v>
      </c>
      <c r="J181" s="3">
        <v>7650</v>
      </c>
      <c r="K181" s="3">
        <v>22950</v>
      </c>
      <c r="L181" s="3">
        <v>14757.98</v>
      </c>
      <c r="M181" s="3">
        <v>8192.02</v>
      </c>
      <c r="N181" t="s">
        <v>19</v>
      </c>
      <c r="O181" t="s">
        <v>266</v>
      </c>
      <c r="P181">
        <v>7</v>
      </c>
    </row>
    <row r="182" spans="1:16" x14ac:dyDescent="0.3">
      <c r="A182" t="s">
        <v>278</v>
      </c>
      <c r="B182" s="2">
        <v>46212.87222222222</v>
      </c>
      <c r="C182" t="s">
        <v>91</v>
      </c>
      <c r="D182" t="s">
        <v>63</v>
      </c>
      <c r="E182" t="s">
        <v>29</v>
      </c>
      <c r="F182" t="s">
        <v>25</v>
      </c>
      <c r="G182">
        <v>2</v>
      </c>
      <c r="H182" s="3">
        <v>1800</v>
      </c>
      <c r="I182" s="4">
        <v>0.1</v>
      </c>
      <c r="J182" s="3">
        <v>1620</v>
      </c>
      <c r="K182" s="3">
        <v>3240</v>
      </c>
      <c r="L182" s="3">
        <v>2094.94</v>
      </c>
      <c r="M182" s="3">
        <v>1145.06</v>
      </c>
      <c r="N182" t="s">
        <v>10</v>
      </c>
      <c r="O182" t="s">
        <v>266</v>
      </c>
      <c r="P182">
        <v>7</v>
      </c>
    </row>
    <row r="183" spans="1:16" x14ac:dyDescent="0.3">
      <c r="A183" t="s">
        <v>279</v>
      </c>
      <c r="B183" s="2">
        <v>46214.34375</v>
      </c>
      <c r="C183" t="s">
        <v>219</v>
      </c>
      <c r="D183" t="s">
        <v>24</v>
      </c>
      <c r="E183" t="s">
        <v>3</v>
      </c>
      <c r="F183" t="s">
        <v>44</v>
      </c>
      <c r="G183">
        <v>2</v>
      </c>
      <c r="H183" s="3">
        <v>55000</v>
      </c>
      <c r="I183" s="4">
        <v>0</v>
      </c>
      <c r="J183" s="3">
        <v>55000</v>
      </c>
      <c r="K183" s="3">
        <v>110000</v>
      </c>
      <c r="L183" s="3">
        <v>88776.26</v>
      </c>
      <c r="M183" s="3">
        <v>21223.74</v>
      </c>
      <c r="N183" t="s">
        <v>16</v>
      </c>
      <c r="O183" t="s">
        <v>266</v>
      </c>
      <c r="P183">
        <v>7</v>
      </c>
    </row>
    <row r="184" spans="1:16" x14ac:dyDescent="0.3">
      <c r="A184" t="s">
        <v>280</v>
      </c>
      <c r="B184" s="2">
        <v>46214.386111111111</v>
      </c>
      <c r="C184" t="s">
        <v>124</v>
      </c>
      <c r="D184" t="s">
        <v>24</v>
      </c>
      <c r="E184" t="s">
        <v>3</v>
      </c>
      <c r="F184" t="s">
        <v>4</v>
      </c>
      <c r="G184">
        <v>4</v>
      </c>
      <c r="H184" s="3">
        <v>55000</v>
      </c>
      <c r="I184" s="4">
        <v>0.05</v>
      </c>
      <c r="J184" s="3">
        <v>52250</v>
      </c>
      <c r="K184" s="3">
        <v>209000</v>
      </c>
      <c r="L184" s="3">
        <v>152895.99</v>
      </c>
      <c r="M184" s="3">
        <v>56104.01</v>
      </c>
      <c r="N184" t="s">
        <v>10</v>
      </c>
      <c r="O184" t="s">
        <v>266</v>
      </c>
      <c r="P184">
        <v>7</v>
      </c>
    </row>
    <row r="185" spans="1:16" x14ac:dyDescent="0.3">
      <c r="A185" t="s">
        <v>281</v>
      </c>
      <c r="B185" s="2">
        <v>46215.554166666669</v>
      </c>
      <c r="C185" t="s">
        <v>176</v>
      </c>
      <c r="D185" t="s">
        <v>28</v>
      </c>
      <c r="E185" t="s">
        <v>29</v>
      </c>
      <c r="F185" t="s">
        <v>44</v>
      </c>
      <c r="G185">
        <v>1</v>
      </c>
      <c r="H185" s="3">
        <v>2200</v>
      </c>
      <c r="I185" s="4">
        <v>0</v>
      </c>
      <c r="J185" s="3">
        <v>2200</v>
      </c>
      <c r="K185" s="3">
        <v>2200</v>
      </c>
      <c r="L185" s="3">
        <v>1583.62</v>
      </c>
      <c r="M185" s="3">
        <v>616.38</v>
      </c>
      <c r="N185" t="s">
        <v>39</v>
      </c>
      <c r="O185" t="s">
        <v>266</v>
      </c>
      <c r="P185">
        <v>7</v>
      </c>
    </row>
    <row r="186" spans="1:16" x14ac:dyDescent="0.3">
      <c r="A186" t="s">
        <v>282</v>
      </c>
      <c r="B186" s="2">
        <v>46215.790972222225</v>
      </c>
      <c r="C186" t="s">
        <v>95</v>
      </c>
      <c r="D186" t="s">
        <v>63</v>
      </c>
      <c r="E186" t="s">
        <v>29</v>
      </c>
      <c r="F186" t="s">
        <v>15</v>
      </c>
      <c r="G186">
        <v>4</v>
      </c>
      <c r="H186" s="3">
        <v>1800</v>
      </c>
      <c r="I186" s="4">
        <v>0.05</v>
      </c>
      <c r="J186" s="3">
        <v>1710</v>
      </c>
      <c r="K186" s="3">
        <v>6840</v>
      </c>
      <c r="L186" s="3">
        <v>5430.37</v>
      </c>
      <c r="M186" s="3">
        <v>1409.63</v>
      </c>
      <c r="N186" t="s">
        <v>39</v>
      </c>
      <c r="O186" t="s">
        <v>266</v>
      </c>
      <c r="P186">
        <v>7</v>
      </c>
    </row>
    <row r="187" spans="1:16" x14ac:dyDescent="0.3">
      <c r="A187" t="s">
        <v>283</v>
      </c>
      <c r="B187" s="2">
        <v>46215.495138888888</v>
      </c>
      <c r="C187" t="s">
        <v>284</v>
      </c>
      <c r="D187" t="s">
        <v>32</v>
      </c>
      <c r="E187" t="s">
        <v>3</v>
      </c>
      <c r="F187" t="s">
        <v>25</v>
      </c>
      <c r="G187">
        <v>5</v>
      </c>
      <c r="H187" s="3">
        <v>11000</v>
      </c>
      <c r="I187" s="4">
        <v>0.05</v>
      </c>
      <c r="J187" s="3">
        <v>10450</v>
      </c>
      <c r="K187" s="3">
        <v>52250</v>
      </c>
      <c r="L187" s="3">
        <v>40114.519999999997</v>
      </c>
      <c r="M187" s="3">
        <v>12135.48</v>
      </c>
      <c r="N187" t="s">
        <v>5</v>
      </c>
      <c r="O187" t="s">
        <v>266</v>
      </c>
      <c r="P187">
        <v>7</v>
      </c>
    </row>
    <row r="188" spans="1:16" x14ac:dyDescent="0.3">
      <c r="A188" t="s">
        <v>285</v>
      </c>
      <c r="B188" s="2">
        <v>46217.443055555559</v>
      </c>
      <c r="C188" t="s">
        <v>65</v>
      </c>
      <c r="D188" t="s">
        <v>28</v>
      </c>
      <c r="E188" t="s">
        <v>29</v>
      </c>
      <c r="F188" t="s">
        <v>44</v>
      </c>
      <c r="G188">
        <v>5</v>
      </c>
      <c r="H188" s="3">
        <v>2200</v>
      </c>
      <c r="I188" s="4">
        <v>0</v>
      </c>
      <c r="J188" s="3">
        <v>2200</v>
      </c>
      <c r="K188" s="3">
        <v>11000</v>
      </c>
      <c r="L188" s="3">
        <v>8284.17</v>
      </c>
      <c r="M188" s="3">
        <v>2715.83</v>
      </c>
      <c r="N188" t="s">
        <v>33</v>
      </c>
      <c r="O188" t="s">
        <v>266</v>
      </c>
      <c r="P188">
        <v>7</v>
      </c>
    </row>
    <row r="189" spans="1:16" x14ac:dyDescent="0.3">
      <c r="A189" t="s">
        <v>286</v>
      </c>
      <c r="B189" s="2">
        <v>46219.807638888888</v>
      </c>
      <c r="C189" t="s">
        <v>8</v>
      </c>
      <c r="D189" t="s">
        <v>32</v>
      </c>
      <c r="E189" t="s">
        <v>3</v>
      </c>
      <c r="F189" t="s">
        <v>4</v>
      </c>
      <c r="G189">
        <v>5</v>
      </c>
      <c r="H189" s="3">
        <v>11000</v>
      </c>
      <c r="I189" s="4">
        <v>0</v>
      </c>
      <c r="J189" s="3">
        <v>11000</v>
      </c>
      <c r="K189" s="3">
        <v>55000</v>
      </c>
      <c r="L189" s="3">
        <v>35939.879999999997</v>
      </c>
      <c r="M189" s="3">
        <v>19060.12</v>
      </c>
      <c r="N189" t="s">
        <v>16</v>
      </c>
      <c r="O189" t="s">
        <v>266</v>
      </c>
      <c r="P189">
        <v>7</v>
      </c>
    </row>
    <row r="190" spans="1:16" x14ac:dyDescent="0.3">
      <c r="A190" t="s">
        <v>287</v>
      </c>
      <c r="B190" s="2">
        <v>46219.521527777775</v>
      </c>
      <c r="C190" t="s">
        <v>288</v>
      </c>
      <c r="D190" t="s">
        <v>100</v>
      </c>
      <c r="E190" t="s">
        <v>14</v>
      </c>
      <c r="F190" t="s">
        <v>44</v>
      </c>
      <c r="G190">
        <v>1</v>
      </c>
      <c r="H190" s="3">
        <v>12000</v>
      </c>
      <c r="I190" s="4">
        <v>0</v>
      </c>
      <c r="J190" s="3">
        <v>12000</v>
      </c>
      <c r="K190" s="3">
        <v>12000</v>
      </c>
      <c r="L190" s="3">
        <v>9183.64</v>
      </c>
      <c r="M190" s="3">
        <v>2816.36</v>
      </c>
      <c r="N190" t="s">
        <v>33</v>
      </c>
      <c r="O190" t="s">
        <v>266</v>
      </c>
      <c r="P190">
        <v>7</v>
      </c>
    </row>
    <row r="191" spans="1:16" x14ac:dyDescent="0.3">
      <c r="A191" t="s">
        <v>289</v>
      </c>
      <c r="B191" s="2">
        <v>46219.51458333333</v>
      </c>
      <c r="C191" t="s">
        <v>105</v>
      </c>
      <c r="D191" t="s">
        <v>28</v>
      </c>
      <c r="E191" t="s">
        <v>29</v>
      </c>
      <c r="F191" t="s">
        <v>25</v>
      </c>
      <c r="G191">
        <v>2</v>
      </c>
      <c r="H191" s="3">
        <v>2200</v>
      </c>
      <c r="I191" s="4">
        <v>0.05</v>
      </c>
      <c r="J191" s="3">
        <v>2090</v>
      </c>
      <c r="K191" s="3">
        <v>4180</v>
      </c>
      <c r="L191" s="3">
        <v>2748.73</v>
      </c>
      <c r="M191" s="3">
        <v>1431.27</v>
      </c>
      <c r="N191" t="s">
        <v>39</v>
      </c>
      <c r="O191" t="s">
        <v>266</v>
      </c>
      <c r="P191">
        <v>7</v>
      </c>
    </row>
    <row r="192" spans="1:16" x14ac:dyDescent="0.3">
      <c r="A192" t="s">
        <v>290</v>
      </c>
      <c r="B192" s="2">
        <v>46220.378472222219</v>
      </c>
      <c r="C192" t="s">
        <v>58</v>
      </c>
      <c r="D192" t="s">
        <v>13</v>
      </c>
      <c r="E192" t="s">
        <v>14</v>
      </c>
      <c r="F192" t="s">
        <v>4</v>
      </c>
      <c r="G192">
        <v>1</v>
      </c>
      <c r="H192" s="3">
        <v>8500</v>
      </c>
      <c r="I192" s="4">
        <v>0</v>
      </c>
      <c r="J192" s="3">
        <v>8500</v>
      </c>
      <c r="K192" s="3">
        <v>8500</v>
      </c>
      <c r="L192" s="3">
        <v>5791.79</v>
      </c>
      <c r="M192" s="3">
        <v>2708.21</v>
      </c>
      <c r="N192" t="s">
        <v>16</v>
      </c>
      <c r="O192" t="s">
        <v>266</v>
      </c>
      <c r="P192">
        <v>7</v>
      </c>
    </row>
    <row r="193" spans="1:16" x14ac:dyDescent="0.3">
      <c r="A193" t="s">
        <v>291</v>
      </c>
      <c r="B193" s="2">
        <v>46221.857638888891</v>
      </c>
      <c r="C193" t="s">
        <v>292</v>
      </c>
      <c r="D193" t="s">
        <v>24</v>
      </c>
      <c r="E193" t="s">
        <v>3</v>
      </c>
      <c r="F193" t="s">
        <v>15</v>
      </c>
      <c r="G193">
        <v>4</v>
      </c>
      <c r="H193" s="3">
        <v>55000</v>
      </c>
      <c r="I193" s="4">
        <v>0</v>
      </c>
      <c r="J193" s="3">
        <v>55000</v>
      </c>
      <c r="K193" s="3">
        <v>220000</v>
      </c>
      <c r="L193" s="3">
        <v>171674.28</v>
      </c>
      <c r="M193" s="3">
        <v>48325.72</v>
      </c>
      <c r="N193" t="s">
        <v>39</v>
      </c>
      <c r="O193" t="s">
        <v>266</v>
      </c>
      <c r="P193">
        <v>7</v>
      </c>
    </row>
    <row r="194" spans="1:16" x14ac:dyDescent="0.3">
      <c r="A194" t="s">
        <v>293</v>
      </c>
      <c r="B194" s="2">
        <v>46226.390277777777</v>
      </c>
      <c r="C194" t="s">
        <v>294</v>
      </c>
      <c r="D194" t="s">
        <v>24</v>
      </c>
      <c r="E194" t="s">
        <v>3</v>
      </c>
      <c r="F194" t="s">
        <v>4</v>
      </c>
      <c r="G194">
        <v>4</v>
      </c>
      <c r="H194" s="3">
        <v>55000</v>
      </c>
      <c r="I194" s="4">
        <v>0</v>
      </c>
      <c r="J194" s="3">
        <v>55000</v>
      </c>
      <c r="K194" s="3">
        <v>220000</v>
      </c>
      <c r="L194" s="3">
        <v>139811.56</v>
      </c>
      <c r="M194" s="3">
        <v>80188.44</v>
      </c>
      <c r="N194" t="s">
        <v>10</v>
      </c>
      <c r="O194" t="s">
        <v>266</v>
      </c>
      <c r="P194">
        <v>7</v>
      </c>
    </row>
    <row r="195" spans="1:16" x14ac:dyDescent="0.3">
      <c r="A195" t="s">
        <v>295</v>
      </c>
      <c r="B195" s="2">
        <v>46226.435416666667</v>
      </c>
      <c r="C195" t="s">
        <v>288</v>
      </c>
      <c r="D195" t="s">
        <v>13</v>
      </c>
      <c r="E195" t="s">
        <v>14</v>
      </c>
      <c r="F195" t="s">
        <v>44</v>
      </c>
      <c r="G195">
        <v>2</v>
      </c>
      <c r="H195" s="3">
        <v>8500</v>
      </c>
      <c r="I195" s="4">
        <v>0</v>
      </c>
      <c r="J195" s="3">
        <v>8500</v>
      </c>
      <c r="K195" s="3">
        <v>17000</v>
      </c>
      <c r="L195" s="3">
        <v>13842.72</v>
      </c>
      <c r="M195" s="3">
        <v>3157.28</v>
      </c>
      <c r="N195" t="s">
        <v>39</v>
      </c>
      <c r="O195" t="s">
        <v>266</v>
      </c>
      <c r="P195">
        <v>7</v>
      </c>
    </row>
    <row r="196" spans="1:16" x14ac:dyDescent="0.3">
      <c r="A196" t="s">
        <v>296</v>
      </c>
      <c r="B196" s="2">
        <v>46227.530555555553</v>
      </c>
      <c r="C196" t="s">
        <v>292</v>
      </c>
      <c r="D196" t="s">
        <v>24</v>
      </c>
      <c r="E196" t="s">
        <v>3</v>
      </c>
      <c r="F196" t="s">
        <v>15</v>
      </c>
      <c r="G196">
        <v>3</v>
      </c>
      <c r="H196" s="3">
        <v>55000</v>
      </c>
      <c r="I196" s="4">
        <v>0.15</v>
      </c>
      <c r="J196" s="3">
        <v>46750</v>
      </c>
      <c r="K196" s="3">
        <v>140250</v>
      </c>
      <c r="L196" s="3">
        <v>100693.44</v>
      </c>
      <c r="M196" s="3">
        <v>39556.559999999998</v>
      </c>
      <c r="N196" t="s">
        <v>39</v>
      </c>
      <c r="O196" t="s">
        <v>266</v>
      </c>
      <c r="P196">
        <v>7</v>
      </c>
    </row>
    <row r="197" spans="1:16" x14ac:dyDescent="0.3">
      <c r="A197" t="s">
        <v>297</v>
      </c>
      <c r="B197" s="2">
        <v>46231.434027777781</v>
      </c>
      <c r="C197" t="s">
        <v>12</v>
      </c>
      <c r="D197" t="s">
        <v>63</v>
      </c>
      <c r="E197" t="s">
        <v>29</v>
      </c>
      <c r="F197" t="s">
        <v>44</v>
      </c>
      <c r="G197">
        <v>2</v>
      </c>
      <c r="H197" s="3">
        <v>1800</v>
      </c>
      <c r="I197" s="4">
        <v>0</v>
      </c>
      <c r="J197" s="3">
        <v>1800</v>
      </c>
      <c r="K197" s="3">
        <v>3600</v>
      </c>
      <c r="L197" s="3">
        <v>2299.86</v>
      </c>
      <c r="M197" s="3">
        <v>1300.1400000000001</v>
      </c>
      <c r="N197" t="s">
        <v>10</v>
      </c>
      <c r="O197" t="s">
        <v>266</v>
      </c>
      <c r="P197">
        <v>7</v>
      </c>
    </row>
    <row r="198" spans="1:16" x14ac:dyDescent="0.3">
      <c r="A198" t="s">
        <v>298</v>
      </c>
      <c r="B198" s="2">
        <v>46231.484027777777</v>
      </c>
      <c r="C198" t="s">
        <v>130</v>
      </c>
      <c r="D198" t="s">
        <v>28</v>
      </c>
      <c r="E198" t="s">
        <v>29</v>
      </c>
      <c r="F198" t="s">
        <v>25</v>
      </c>
      <c r="G198">
        <v>4</v>
      </c>
      <c r="H198" s="3">
        <v>2200</v>
      </c>
      <c r="I198" s="4">
        <v>0</v>
      </c>
      <c r="J198" s="3">
        <v>2200</v>
      </c>
      <c r="K198" s="3">
        <v>8800</v>
      </c>
      <c r="L198" s="3">
        <v>7121.87</v>
      </c>
      <c r="M198" s="3">
        <v>1678.13</v>
      </c>
      <c r="N198" t="s">
        <v>39</v>
      </c>
      <c r="O198" t="s">
        <v>266</v>
      </c>
      <c r="P198">
        <v>7</v>
      </c>
    </row>
    <row r="199" spans="1:16" x14ac:dyDescent="0.3">
      <c r="A199" t="s">
        <v>299</v>
      </c>
      <c r="B199" s="2">
        <v>46232.842361111114</v>
      </c>
      <c r="C199" t="s">
        <v>219</v>
      </c>
      <c r="D199" t="s">
        <v>63</v>
      </c>
      <c r="E199" t="s">
        <v>29</v>
      </c>
      <c r="F199" t="s">
        <v>4</v>
      </c>
      <c r="G199">
        <v>5</v>
      </c>
      <c r="H199" s="3">
        <v>1800</v>
      </c>
      <c r="I199" s="4">
        <v>0.05</v>
      </c>
      <c r="J199" s="3">
        <v>1710</v>
      </c>
      <c r="K199" s="3">
        <v>8550</v>
      </c>
      <c r="L199" s="3">
        <v>5823.6</v>
      </c>
      <c r="M199" s="3">
        <v>2726.4</v>
      </c>
      <c r="N199" t="s">
        <v>33</v>
      </c>
      <c r="O199" t="s">
        <v>266</v>
      </c>
      <c r="P199">
        <v>7</v>
      </c>
    </row>
    <row r="200" spans="1:16" x14ac:dyDescent="0.3">
      <c r="A200" t="s">
        <v>300</v>
      </c>
      <c r="B200" s="2">
        <v>46234.70208333333</v>
      </c>
      <c r="C200" t="s">
        <v>54</v>
      </c>
      <c r="D200" t="s">
        <v>47</v>
      </c>
      <c r="E200" t="s">
        <v>3</v>
      </c>
      <c r="F200" t="s">
        <v>4</v>
      </c>
      <c r="G200">
        <v>1</v>
      </c>
      <c r="H200" s="3">
        <v>28000</v>
      </c>
      <c r="I200" s="4">
        <v>0</v>
      </c>
      <c r="J200" s="3">
        <v>28000</v>
      </c>
      <c r="K200" s="3">
        <v>28000</v>
      </c>
      <c r="L200" s="3">
        <v>19145.72</v>
      </c>
      <c r="M200" s="3">
        <v>8854.2800000000007</v>
      </c>
      <c r="N200" t="s">
        <v>5</v>
      </c>
      <c r="O200" t="s">
        <v>266</v>
      </c>
      <c r="P200">
        <v>7</v>
      </c>
    </row>
    <row r="201" spans="1:16" x14ac:dyDescent="0.3">
      <c r="A201" t="s">
        <v>301</v>
      </c>
      <c r="B201" s="2">
        <v>46234.756944444445</v>
      </c>
      <c r="C201" t="s">
        <v>118</v>
      </c>
      <c r="D201" t="s">
        <v>2</v>
      </c>
      <c r="E201" t="s">
        <v>3</v>
      </c>
      <c r="F201" t="s">
        <v>15</v>
      </c>
      <c r="G201">
        <v>5</v>
      </c>
      <c r="H201" s="3">
        <v>3500</v>
      </c>
      <c r="I201" s="4">
        <v>0.1</v>
      </c>
      <c r="J201" s="3">
        <v>3150</v>
      </c>
      <c r="K201" s="3">
        <v>15750</v>
      </c>
      <c r="L201" s="3">
        <v>11320.99</v>
      </c>
      <c r="M201" s="3">
        <v>4429.01</v>
      </c>
      <c r="N201" t="s">
        <v>10</v>
      </c>
      <c r="O201" t="s">
        <v>266</v>
      </c>
      <c r="P201">
        <v>7</v>
      </c>
    </row>
    <row r="202" spans="1:16" x14ac:dyDescent="0.3">
      <c r="A202" t="s">
        <v>302</v>
      </c>
      <c r="B202" s="2">
        <v>46235.454861111109</v>
      </c>
      <c r="C202" t="s">
        <v>143</v>
      </c>
      <c r="D202" t="s">
        <v>24</v>
      </c>
      <c r="E202" t="s">
        <v>3</v>
      </c>
      <c r="F202" t="s">
        <v>15</v>
      </c>
      <c r="G202">
        <v>4</v>
      </c>
      <c r="H202" s="3">
        <v>55000</v>
      </c>
      <c r="I202" s="4">
        <v>0.1</v>
      </c>
      <c r="J202" s="3">
        <v>49500</v>
      </c>
      <c r="K202" s="3">
        <v>198000</v>
      </c>
      <c r="L202" s="3">
        <v>154624.57</v>
      </c>
      <c r="M202" s="3">
        <v>43375.43</v>
      </c>
      <c r="N202" t="s">
        <v>33</v>
      </c>
      <c r="O202" t="s">
        <v>303</v>
      </c>
      <c r="P202">
        <v>8</v>
      </c>
    </row>
    <row r="203" spans="1:16" x14ac:dyDescent="0.3">
      <c r="A203" t="s">
        <v>304</v>
      </c>
      <c r="B203" s="2">
        <v>46236.854166666664</v>
      </c>
      <c r="C203" t="s">
        <v>105</v>
      </c>
      <c r="D203" t="s">
        <v>13</v>
      </c>
      <c r="E203" t="s">
        <v>14</v>
      </c>
      <c r="F203" t="s">
        <v>4</v>
      </c>
      <c r="G203">
        <v>1</v>
      </c>
      <c r="H203" s="3">
        <v>8500</v>
      </c>
      <c r="I203" s="4">
        <v>0</v>
      </c>
      <c r="J203" s="3">
        <v>8500</v>
      </c>
      <c r="K203" s="3">
        <v>8500</v>
      </c>
      <c r="L203" s="3">
        <v>6569.56</v>
      </c>
      <c r="M203" s="3">
        <v>1930.44</v>
      </c>
      <c r="N203" t="s">
        <v>33</v>
      </c>
      <c r="O203" t="s">
        <v>303</v>
      </c>
      <c r="P203">
        <v>8</v>
      </c>
    </row>
    <row r="204" spans="1:16" x14ac:dyDescent="0.3">
      <c r="A204" t="s">
        <v>305</v>
      </c>
      <c r="B204" s="2">
        <v>46238.783333333333</v>
      </c>
      <c r="C204" t="s">
        <v>31</v>
      </c>
      <c r="D204" t="s">
        <v>2</v>
      </c>
      <c r="E204" t="s">
        <v>3</v>
      </c>
      <c r="F204" t="s">
        <v>25</v>
      </c>
      <c r="G204">
        <v>2</v>
      </c>
      <c r="H204" s="3">
        <v>3500</v>
      </c>
      <c r="I204" s="4">
        <v>0.1</v>
      </c>
      <c r="J204" s="3">
        <v>3150</v>
      </c>
      <c r="K204" s="3">
        <v>6300</v>
      </c>
      <c r="L204" s="3">
        <v>4834.91</v>
      </c>
      <c r="M204" s="3">
        <v>1465.09</v>
      </c>
      <c r="N204" t="s">
        <v>10</v>
      </c>
      <c r="O204" t="s">
        <v>303</v>
      </c>
      <c r="P204">
        <v>8</v>
      </c>
    </row>
    <row r="205" spans="1:16" x14ac:dyDescent="0.3">
      <c r="A205" t="s">
        <v>306</v>
      </c>
      <c r="B205" s="2">
        <v>46238.413194444445</v>
      </c>
      <c r="C205" t="s">
        <v>67</v>
      </c>
      <c r="D205" t="s">
        <v>50</v>
      </c>
      <c r="E205" t="s">
        <v>29</v>
      </c>
      <c r="F205" t="s">
        <v>4</v>
      </c>
      <c r="G205">
        <v>5</v>
      </c>
      <c r="H205" s="3">
        <v>1200</v>
      </c>
      <c r="I205" s="4">
        <v>0.15</v>
      </c>
      <c r="J205" s="3">
        <v>1020</v>
      </c>
      <c r="K205" s="3">
        <v>5100</v>
      </c>
      <c r="L205" s="3">
        <v>3925.95</v>
      </c>
      <c r="M205" s="3">
        <v>1174.05</v>
      </c>
      <c r="N205" t="s">
        <v>39</v>
      </c>
      <c r="O205" t="s">
        <v>303</v>
      </c>
      <c r="P205">
        <v>8</v>
      </c>
    </row>
    <row r="206" spans="1:16" x14ac:dyDescent="0.3">
      <c r="A206" t="s">
        <v>307</v>
      </c>
      <c r="B206" s="2">
        <v>46239.447916666664</v>
      </c>
      <c r="C206" t="s">
        <v>103</v>
      </c>
      <c r="D206" t="s">
        <v>24</v>
      </c>
      <c r="E206" t="s">
        <v>3</v>
      </c>
      <c r="F206" t="s">
        <v>25</v>
      </c>
      <c r="G206">
        <v>3</v>
      </c>
      <c r="H206" s="3">
        <v>55000</v>
      </c>
      <c r="I206" s="4">
        <v>0.1</v>
      </c>
      <c r="J206" s="3">
        <v>49500</v>
      </c>
      <c r="K206" s="3">
        <v>148500</v>
      </c>
      <c r="L206" s="3">
        <v>110259.45</v>
      </c>
      <c r="M206" s="3">
        <v>38240.550000000003</v>
      </c>
      <c r="N206" t="s">
        <v>5</v>
      </c>
      <c r="O206" t="s">
        <v>303</v>
      </c>
      <c r="P206">
        <v>8</v>
      </c>
    </row>
    <row r="207" spans="1:16" x14ac:dyDescent="0.3">
      <c r="A207" t="s">
        <v>308</v>
      </c>
      <c r="B207" s="2">
        <v>46240.817361111112</v>
      </c>
      <c r="C207" t="s">
        <v>219</v>
      </c>
      <c r="D207" t="s">
        <v>24</v>
      </c>
      <c r="E207" t="s">
        <v>3</v>
      </c>
      <c r="F207" t="s">
        <v>25</v>
      </c>
      <c r="G207">
        <v>1</v>
      </c>
      <c r="H207" s="3">
        <v>55000</v>
      </c>
      <c r="I207" s="4">
        <v>0.05</v>
      </c>
      <c r="J207" s="3">
        <v>52250</v>
      </c>
      <c r="K207" s="3">
        <v>52250</v>
      </c>
      <c r="L207" s="3">
        <v>40263.1</v>
      </c>
      <c r="M207" s="3">
        <v>11986.9</v>
      </c>
      <c r="N207" t="s">
        <v>19</v>
      </c>
      <c r="O207" t="s">
        <v>303</v>
      </c>
      <c r="P207">
        <v>8</v>
      </c>
    </row>
    <row r="208" spans="1:16" x14ac:dyDescent="0.3">
      <c r="A208" t="s">
        <v>309</v>
      </c>
      <c r="B208" s="2">
        <v>46241.77847222222</v>
      </c>
      <c r="C208" t="s">
        <v>162</v>
      </c>
      <c r="D208" t="s">
        <v>50</v>
      </c>
      <c r="E208" t="s">
        <v>29</v>
      </c>
      <c r="F208" t="s">
        <v>4</v>
      </c>
      <c r="G208">
        <v>5</v>
      </c>
      <c r="H208" s="3">
        <v>1200</v>
      </c>
      <c r="I208" s="4">
        <v>0.05</v>
      </c>
      <c r="J208" s="3">
        <v>1140</v>
      </c>
      <c r="K208" s="3">
        <v>5700</v>
      </c>
      <c r="L208" s="3">
        <v>3975.45</v>
      </c>
      <c r="M208" s="3">
        <v>1724.55</v>
      </c>
      <c r="N208" t="s">
        <v>39</v>
      </c>
      <c r="O208" t="s">
        <v>303</v>
      </c>
      <c r="P208">
        <v>8</v>
      </c>
    </row>
    <row r="209" spans="1:16" x14ac:dyDescent="0.3">
      <c r="A209" t="s">
        <v>310</v>
      </c>
      <c r="B209" s="2">
        <v>46242.727083333331</v>
      </c>
      <c r="C209" t="s">
        <v>91</v>
      </c>
      <c r="D209" t="s">
        <v>47</v>
      </c>
      <c r="E209" t="s">
        <v>3</v>
      </c>
      <c r="F209" t="s">
        <v>25</v>
      </c>
      <c r="G209">
        <v>1</v>
      </c>
      <c r="H209" s="3">
        <v>28000</v>
      </c>
      <c r="I209" s="4">
        <v>0.1</v>
      </c>
      <c r="J209" s="3">
        <v>25200</v>
      </c>
      <c r="K209" s="3">
        <v>25200</v>
      </c>
      <c r="L209" s="3">
        <v>17135.240000000002</v>
      </c>
      <c r="M209" s="3">
        <v>8064.76</v>
      </c>
      <c r="N209" t="s">
        <v>5</v>
      </c>
      <c r="O209" t="s">
        <v>303</v>
      </c>
      <c r="P209">
        <v>8</v>
      </c>
    </row>
    <row r="210" spans="1:16" x14ac:dyDescent="0.3">
      <c r="A210" t="s">
        <v>311</v>
      </c>
      <c r="B210" s="2">
        <v>46242.820138888892</v>
      </c>
      <c r="C210" t="s">
        <v>143</v>
      </c>
      <c r="D210" t="s">
        <v>32</v>
      </c>
      <c r="E210" t="s">
        <v>3</v>
      </c>
      <c r="F210" t="s">
        <v>4</v>
      </c>
      <c r="G210">
        <v>2</v>
      </c>
      <c r="H210" s="3">
        <v>11000</v>
      </c>
      <c r="I210" s="4">
        <v>0</v>
      </c>
      <c r="J210" s="3">
        <v>11000</v>
      </c>
      <c r="K210" s="3">
        <v>22000</v>
      </c>
      <c r="L210" s="3">
        <v>16756.259999999998</v>
      </c>
      <c r="M210" s="3">
        <v>5243.74</v>
      </c>
      <c r="N210" t="s">
        <v>39</v>
      </c>
      <c r="O210" t="s">
        <v>303</v>
      </c>
      <c r="P210">
        <v>8</v>
      </c>
    </row>
    <row r="211" spans="1:16" x14ac:dyDescent="0.3">
      <c r="A211" t="s">
        <v>312</v>
      </c>
      <c r="B211" s="2">
        <v>46242.697916666664</v>
      </c>
      <c r="C211" t="s">
        <v>103</v>
      </c>
      <c r="D211" t="s">
        <v>24</v>
      </c>
      <c r="E211" t="s">
        <v>3</v>
      </c>
      <c r="F211" t="s">
        <v>4</v>
      </c>
      <c r="G211">
        <v>3</v>
      </c>
      <c r="H211" s="3">
        <v>55000</v>
      </c>
      <c r="I211" s="4">
        <v>0.05</v>
      </c>
      <c r="J211" s="3">
        <v>52250</v>
      </c>
      <c r="K211" s="3">
        <v>156750</v>
      </c>
      <c r="L211" s="3">
        <v>105706.91</v>
      </c>
      <c r="M211" s="3">
        <v>51043.09</v>
      </c>
      <c r="N211" t="s">
        <v>33</v>
      </c>
      <c r="O211" t="s">
        <v>303</v>
      </c>
      <c r="P211">
        <v>8</v>
      </c>
    </row>
    <row r="212" spans="1:16" x14ac:dyDescent="0.3">
      <c r="A212" t="s">
        <v>313</v>
      </c>
      <c r="B212" s="2">
        <v>46243.655555555553</v>
      </c>
      <c r="C212" t="s">
        <v>165</v>
      </c>
      <c r="D212" t="s">
        <v>32</v>
      </c>
      <c r="E212" t="s">
        <v>3</v>
      </c>
      <c r="F212" t="s">
        <v>4</v>
      </c>
      <c r="G212">
        <v>1</v>
      </c>
      <c r="H212" s="3">
        <v>11000</v>
      </c>
      <c r="I212" s="4">
        <v>0</v>
      </c>
      <c r="J212" s="3">
        <v>11000</v>
      </c>
      <c r="K212" s="3">
        <v>11000</v>
      </c>
      <c r="L212" s="3">
        <v>7548.34</v>
      </c>
      <c r="M212" s="3">
        <v>3451.66</v>
      </c>
      <c r="N212" t="s">
        <v>19</v>
      </c>
      <c r="O212" t="s">
        <v>303</v>
      </c>
      <c r="P212">
        <v>8</v>
      </c>
    </row>
    <row r="213" spans="1:16" x14ac:dyDescent="0.3">
      <c r="A213" t="s">
        <v>314</v>
      </c>
      <c r="B213" s="2">
        <v>46244.45416666667</v>
      </c>
      <c r="C213" t="s">
        <v>208</v>
      </c>
      <c r="D213" t="s">
        <v>50</v>
      </c>
      <c r="E213" t="s">
        <v>29</v>
      </c>
      <c r="F213" t="s">
        <v>15</v>
      </c>
      <c r="G213">
        <v>5</v>
      </c>
      <c r="H213" s="3">
        <v>1200</v>
      </c>
      <c r="I213" s="4">
        <v>0</v>
      </c>
      <c r="J213" s="3">
        <v>1200</v>
      </c>
      <c r="K213" s="3">
        <v>6000</v>
      </c>
      <c r="L213" s="3">
        <v>4616.32</v>
      </c>
      <c r="M213" s="3">
        <v>1383.68</v>
      </c>
      <c r="N213" t="s">
        <v>19</v>
      </c>
      <c r="O213" t="s">
        <v>303</v>
      </c>
      <c r="P213">
        <v>8</v>
      </c>
    </row>
    <row r="214" spans="1:16" x14ac:dyDescent="0.3">
      <c r="A214" t="s">
        <v>315</v>
      </c>
      <c r="B214" s="2">
        <v>46246.494444444441</v>
      </c>
      <c r="C214" t="s">
        <v>202</v>
      </c>
      <c r="D214" t="s">
        <v>9</v>
      </c>
      <c r="E214" t="s">
        <v>3</v>
      </c>
      <c r="F214" t="s">
        <v>44</v>
      </c>
      <c r="G214">
        <v>5</v>
      </c>
      <c r="H214" s="3">
        <v>15000</v>
      </c>
      <c r="I214" s="4">
        <v>0.05</v>
      </c>
      <c r="J214" s="3">
        <v>14250</v>
      </c>
      <c r="K214" s="3">
        <v>71250</v>
      </c>
      <c r="L214" s="3">
        <v>52121.32</v>
      </c>
      <c r="M214" s="3">
        <v>19128.68</v>
      </c>
      <c r="N214" t="s">
        <v>39</v>
      </c>
      <c r="O214" t="s">
        <v>303</v>
      </c>
      <c r="P214">
        <v>8</v>
      </c>
    </row>
    <row r="215" spans="1:16" x14ac:dyDescent="0.3">
      <c r="A215" t="s">
        <v>316</v>
      </c>
      <c r="B215" s="2">
        <v>46246.478472222225</v>
      </c>
      <c r="C215" t="s">
        <v>86</v>
      </c>
      <c r="D215" t="s">
        <v>2</v>
      </c>
      <c r="E215" t="s">
        <v>3</v>
      </c>
      <c r="F215" t="s">
        <v>44</v>
      </c>
      <c r="G215">
        <v>5</v>
      </c>
      <c r="H215" s="3">
        <v>3500</v>
      </c>
      <c r="I215" s="4">
        <v>0</v>
      </c>
      <c r="J215" s="3">
        <v>3500</v>
      </c>
      <c r="K215" s="3">
        <v>17500</v>
      </c>
      <c r="L215" s="3">
        <v>13373.11</v>
      </c>
      <c r="M215" s="3">
        <v>4126.8900000000003</v>
      </c>
      <c r="N215" t="s">
        <v>19</v>
      </c>
      <c r="O215" t="s">
        <v>303</v>
      </c>
      <c r="P215">
        <v>8</v>
      </c>
    </row>
    <row r="216" spans="1:16" x14ac:dyDescent="0.3">
      <c r="A216" t="s">
        <v>317</v>
      </c>
      <c r="B216" s="2">
        <v>46247.802777777775</v>
      </c>
      <c r="C216" t="s">
        <v>74</v>
      </c>
      <c r="D216" t="s">
        <v>9</v>
      </c>
      <c r="E216" t="s">
        <v>3</v>
      </c>
      <c r="F216" t="s">
        <v>44</v>
      </c>
      <c r="G216">
        <v>1</v>
      </c>
      <c r="H216" s="3">
        <v>15000</v>
      </c>
      <c r="I216" s="4">
        <v>0.1</v>
      </c>
      <c r="J216" s="3">
        <v>13500</v>
      </c>
      <c r="K216" s="3">
        <v>13500</v>
      </c>
      <c r="L216" s="3">
        <v>8864.33</v>
      </c>
      <c r="M216" s="3">
        <v>4635.67</v>
      </c>
      <c r="N216" t="s">
        <v>33</v>
      </c>
      <c r="O216" t="s">
        <v>303</v>
      </c>
      <c r="P216">
        <v>8</v>
      </c>
    </row>
    <row r="217" spans="1:16" x14ac:dyDescent="0.3">
      <c r="A217" t="s">
        <v>318</v>
      </c>
      <c r="B217" s="2">
        <v>46248.695833333331</v>
      </c>
      <c r="C217" t="s">
        <v>81</v>
      </c>
      <c r="D217" t="s">
        <v>47</v>
      </c>
      <c r="E217" t="s">
        <v>3</v>
      </c>
      <c r="F217" t="s">
        <v>44</v>
      </c>
      <c r="G217">
        <v>4</v>
      </c>
      <c r="H217" s="3">
        <v>28000</v>
      </c>
      <c r="I217" s="4">
        <v>0.1</v>
      </c>
      <c r="J217" s="3">
        <v>25200</v>
      </c>
      <c r="K217" s="3">
        <v>100800</v>
      </c>
      <c r="L217" s="3">
        <v>76261.789999999994</v>
      </c>
      <c r="M217" s="3">
        <v>24538.21</v>
      </c>
      <c r="N217" t="s">
        <v>19</v>
      </c>
      <c r="O217" t="s">
        <v>303</v>
      </c>
      <c r="P217">
        <v>8</v>
      </c>
    </row>
    <row r="218" spans="1:16" x14ac:dyDescent="0.3">
      <c r="A218" t="s">
        <v>319</v>
      </c>
      <c r="B218" s="2">
        <v>46248.727083333331</v>
      </c>
      <c r="C218" t="s">
        <v>23</v>
      </c>
      <c r="D218" t="s">
        <v>2</v>
      </c>
      <c r="E218" t="s">
        <v>3</v>
      </c>
      <c r="F218" t="s">
        <v>44</v>
      </c>
      <c r="G218">
        <v>3</v>
      </c>
      <c r="H218" s="3">
        <v>3500</v>
      </c>
      <c r="I218" s="4">
        <v>0</v>
      </c>
      <c r="J218" s="3">
        <v>3500</v>
      </c>
      <c r="K218" s="3">
        <v>10500</v>
      </c>
      <c r="L218" s="3">
        <v>7857.34</v>
      </c>
      <c r="M218" s="3">
        <v>2642.66</v>
      </c>
      <c r="N218" t="s">
        <v>10</v>
      </c>
      <c r="O218" t="s">
        <v>303</v>
      </c>
      <c r="P218">
        <v>8</v>
      </c>
    </row>
    <row r="219" spans="1:16" x14ac:dyDescent="0.3">
      <c r="A219" t="s">
        <v>320</v>
      </c>
      <c r="B219" s="2">
        <v>46255.856944444444</v>
      </c>
      <c r="C219" t="s">
        <v>199</v>
      </c>
      <c r="D219" t="s">
        <v>63</v>
      </c>
      <c r="E219" t="s">
        <v>29</v>
      </c>
      <c r="F219" t="s">
        <v>15</v>
      </c>
      <c r="G219">
        <v>1</v>
      </c>
      <c r="H219" s="3">
        <v>1800</v>
      </c>
      <c r="I219" s="4">
        <v>0.05</v>
      </c>
      <c r="J219" s="3">
        <v>1710</v>
      </c>
      <c r="K219" s="3">
        <v>1710</v>
      </c>
      <c r="L219" s="3">
        <v>1130.47</v>
      </c>
      <c r="M219" s="3">
        <v>579.53</v>
      </c>
      <c r="N219" t="s">
        <v>19</v>
      </c>
      <c r="O219" t="s">
        <v>303</v>
      </c>
      <c r="P219">
        <v>8</v>
      </c>
    </row>
    <row r="220" spans="1:16" x14ac:dyDescent="0.3">
      <c r="A220" t="s">
        <v>321</v>
      </c>
      <c r="B220" s="2">
        <v>46256.576388888891</v>
      </c>
      <c r="C220" t="s">
        <v>121</v>
      </c>
      <c r="D220" t="s">
        <v>24</v>
      </c>
      <c r="E220" t="s">
        <v>3</v>
      </c>
      <c r="F220" t="s">
        <v>15</v>
      </c>
      <c r="G220">
        <v>5</v>
      </c>
      <c r="H220" s="3">
        <v>55000</v>
      </c>
      <c r="I220" s="4">
        <v>0.1</v>
      </c>
      <c r="J220" s="3">
        <v>49500</v>
      </c>
      <c r="K220" s="3">
        <v>247500</v>
      </c>
      <c r="L220" s="3">
        <v>177714.48</v>
      </c>
      <c r="M220" s="3">
        <v>69785.52</v>
      </c>
      <c r="N220" t="s">
        <v>19</v>
      </c>
      <c r="O220" t="s">
        <v>303</v>
      </c>
      <c r="P220">
        <v>8</v>
      </c>
    </row>
    <row r="221" spans="1:16" x14ac:dyDescent="0.3">
      <c r="A221" t="s">
        <v>322</v>
      </c>
      <c r="B221" s="2">
        <v>46257.713888888888</v>
      </c>
      <c r="C221" t="s">
        <v>103</v>
      </c>
      <c r="D221" t="s">
        <v>47</v>
      </c>
      <c r="E221" t="s">
        <v>3</v>
      </c>
      <c r="F221" t="s">
        <v>25</v>
      </c>
      <c r="G221">
        <v>5</v>
      </c>
      <c r="H221" s="3">
        <v>28000</v>
      </c>
      <c r="I221" s="4">
        <v>0</v>
      </c>
      <c r="J221" s="3">
        <v>28000</v>
      </c>
      <c r="K221" s="3">
        <v>140000</v>
      </c>
      <c r="L221" s="3">
        <v>86825.57</v>
      </c>
      <c r="M221" s="3">
        <v>53174.43</v>
      </c>
      <c r="N221" t="s">
        <v>39</v>
      </c>
      <c r="O221" t="s">
        <v>303</v>
      </c>
      <c r="P221">
        <v>8</v>
      </c>
    </row>
    <row r="222" spans="1:16" x14ac:dyDescent="0.3">
      <c r="A222" t="s">
        <v>323</v>
      </c>
      <c r="B222" s="2">
        <v>46258.844444444447</v>
      </c>
      <c r="C222" t="s">
        <v>154</v>
      </c>
      <c r="D222" t="s">
        <v>100</v>
      </c>
      <c r="E222" t="s">
        <v>14</v>
      </c>
      <c r="F222" t="s">
        <v>4</v>
      </c>
      <c r="G222">
        <v>5</v>
      </c>
      <c r="H222" s="3">
        <v>12000</v>
      </c>
      <c r="I222" s="4">
        <v>0.05</v>
      </c>
      <c r="J222" s="3">
        <v>11400</v>
      </c>
      <c r="K222" s="3">
        <v>57000</v>
      </c>
      <c r="L222" s="3">
        <v>37465.620000000003</v>
      </c>
      <c r="M222" s="3">
        <v>19534.38</v>
      </c>
      <c r="N222" t="s">
        <v>39</v>
      </c>
      <c r="O222" t="s">
        <v>303</v>
      </c>
      <c r="P222">
        <v>8</v>
      </c>
    </row>
    <row r="223" spans="1:16" x14ac:dyDescent="0.3">
      <c r="A223" t="s">
        <v>324</v>
      </c>
      <c r="B223" s="2">
        <v>46260.78125</v>
      </c>
      <c r="C223" t="s">
        <v>43</v>
      </c>
      <c r="D223" t="s">
        <v>24</v>
      </c>
      <c r="E223" t="s">
        <v>3</v>
      </c>
      <c r="F223" t="s">
        <v>44</v>
      </c>
      <c r="G223">
        <v>1</v>
      </c>
      <c r="H223" s="3">
        <v>55000</v>
      </c>
      <c r="I223" s="4">
        <v>0.15</v>
      </c>
      <c r="J223" s="3">
        <v>46750</v>
      </c>
      <c r="K223" s="3">
        <v>46750</v>
      </c>
      <c r="L223" s="3">
        <v>33385.120000000003</v>
      </c>
      <c r="M223" s="3">
        <v>13364.88</v>
      </c>
      <c r="N223" t="s">
        <v>5</v>
      </c>
      <c r="O223" t="s">
        <v>303</v>
      </c>
      <c r="P223">
        <v>8</v>
      </c>
    </row>
    <row r="224" spans="1:16" x14ac:dyDescent="0.3">
      <c r="A224" t="s">
        <v>325</v>
      </c>
      <c r="B224" s="2">
        <v>46261.756944444445</v>
      </c>
      <c r="C224" t="s">
        <v>162</v>
      </c>
      <c r="D224" t="s">
        <v>63</v>
      </c>
      <c r="E224" t="s">
        <v>29</v>
      </c>
      <c r="F224" t="s">
        <v>4</v>
      </c>
      <c r="G224">
        <v>2</v>
      </c>
      <c r="H224" s="3">
        <v>1800</v>
      </c>
      <c r="I224" s="4">
        <v>0</v>
      </c>
      <c r="J224" s="3">
        <v>1800</v>
      </c>
      <c r="K224" s="3">
        <v>3600</v>
      </c>
      <c r="L224" s="3">
        <v>2421.38</v>
      </c>
      <c r="M224" s="3">
        <v>1178.6199999999999</v>
      </c>
      <c r="N224" t="s">
        <v>16</v>
      </c>
      <c r="O224" t="s">
        <v>303</v>
      </c>
      <c r="P224">
        <v>8</v>
      </c>
    </row>
    <row r="225" spans="1:16" x14ac:dyDescent="0.3">
      <c r="A225" t="s">
        <v>326</v>
      </c>
      <c r="B225" s="2">
        <v>46262.688194444447</v>
      </c>
      <c r="C225" t="s">
        <v>292</v>
      </c>
      <c r="D225" t="s">
        <v>9</v>
      </c>
      <c r="E225" t="s">
        <v>3</v>
      </c>
      <c r="F225" t="s">
        <v>44</v>
      </c>
      <c r="G225">
        <v>5</v>
      </c>
      <c r="H225" s="3">
        <v>15000</v>
      </c>
      <c r="I225" s="4">
        <v>0</v>
      </c>
      <c r="J225" s="3">
        <v>15000</v>
      </c>
      <c r="K225" s="3">
        <v>75000</v>
      </c>
      <c r="L225" s="3">
        <v>53305.04</v>
      </c>
      <c r="M225" s="3">
        <v>21694.959999999999</v>
      </c>
      <c r="N225" t="s">
        <v>19</v>
      </c>
      <c r="O225" t="s">
        <v>303</v>
      </c>
      <c r="P225">
        <v>8</v>
      </c>
    </row>
    <row r="226" spans="1:16" x14ac:dyDescent="0.3">
      <c r="A226" t="s">
        <v>327</v>
      </c>
      <c r="B226" s="2">
        <v>46262.618055555555</v>
      </c>
      <c r="C226" t="s">
        <v>154</v>
      </c>
      <c r="D226" t="s">
        <v>63</v>
      </c>
      <c r="E226" t="s">
        <v>29</v>
      </c>
      <c r="F226" t="s">
        <v>44</v>
      </c>
      <c r="G226">
        <v>2</v>
      </c>
      <c r="H226" s="3">
        <v>1800</v>
      </c>
      <c r="I226" s="4">
        <v>0</v>
      </c>
      <c r="J226" s="3">
        <v>1800</v>
      </c>
      <c r="K226" s="3">
        <v>3600</v>
      </c>
      <c r="L226" s="3">
        <v>2344.6999999999998</v>
      </c>
      <c r="M226" s="3">
        <v>1255.3</v>
      </c>
      <c r="N226" t="s">
        <v>33</v>
      </c>
      <c r="O226" t="s">
        <v>303</v>
      </c>
      <c r="P226">
        <v>8</v>
      </c>
    </row>
    <row r="227" spans="1:16" x14ac:dyDescent="0.3">
      <c r="A227" t="s">
        <v>328</v>
      </c>
      <c r="B227" s="2">
        <v>46263.869444444441</v>
      </c>
      <c r="C227" t="s">
        <v>162</v>
      </c>
      <c r="D227" t="s">
        <v>32</v>
      </c>
      <c r="E227" t="s">
        <v>3</v>
      </c>
      <c r="F227" t="s">
        <v>15</v>
      </c>
      <c r="G227">
        <v>4</v>
      </c>
      <c r="H227" s="3">
        <v>11000</v>
      </c>
      <c r="I227" s="4">
        <v>0</v>
      </c>
      <c r="J227" s="3">
        <v>11000</v>
      </c>
      <c r="K227" s="3">
        <v>44000</v>
      </c>
      <c r="L227" s="3">
        <v>28364.87</v>
      </c>
      <c r="M227" s="3">
        <v>15635.13</v>
      </c>
      <c r="N227" t="s">
        <v>19</v>
      </c>
      <c r="O227" t="s">
        <v>303</v>
      </c>
      <c r="P227">
        <v>8</v>
      </c>
    </row>
    <row r="228" spans="1:16" x14ac:dyDescent="0.3">
      <c r="A228" t="s">
        <v>329</v>
      </c>
      <c r="B228" s="2">
        <v>46264.354166666664</v>
      </c>
      <c r="C228" t="s">
        <v>202</v>
      </c>
      <c r="D228" t="s">
        <v>28</v>
      </c>
      <c r="E228" t="s">
        <v>29</v>
      </c>
      <c r="F228" t="s">
        <v>15</v>
      </c>
      <c r="G228">
        <v>1</v>
      </c>
      <c r="H228" s="3">
        <v>2200</v>
      </c>
      <c r="I228" s="4">
        <v>0</v>
      </c>
      <c r="J228" s="3">
        <v>2200</v>
      </c>
      <c r="K228" s="3">
        <v>2200</v>
      </c>
      <c r="L228" s="3">
        <v>1636.77</v>
      </c>
      <c r="M228" s="3">
        <v>563.23</v>
      </c>
      <c r="N228" t="s">
        <v>19</v>
      </c>
      <c r="O228" t="s">
        <v>303</v>
      </c>
      <c r="P228">
        <v>8</v>
      </c>
    </row>
    <row r="229" spans="1:16" x14ac:dyDescent="0.3">
      <c r="A229" t="s">
        <v>330</v>
      </c>
      <c r="B229" s="2">
        <v>46265.615972222222</v>
      </c>
      <c r="C229" t="s">
        <v>76</v>
      </c>
      <c r="D229" t="s">
        <v>47</v>
      </c>
      <c r="E229" t="s">
        <v>3</v>
      </c>
      <c r="F229" t="s">
        <v>44</v>
      </c>
      <c r="G229">
        <v>4</v>
      </c>
      <c r="H229" s="3">
        <v>28000</v>
      </c>
      <c r="I229" s="4">
        <v>0.15</v>
      </c>
      <c r="J229" s="3">
        <v>23800</v>
      </c>
      <c r="K229" s="3">
        <v>95200</v>
      </c>
      <c r="L229" s="3">
        <v>65739.47</v>
      </c>
      <c r="M229" s="3">
        <v>29460.53</v>
      </c>
      <c r="N229" t="s">
        <v>5</v>
      </c>
      <c r="O229" t="s">
        <v>303</v>
      </c>
      <c r="P229">
        <v>8</v>
      </c>
    </row>
    <row r="230" spans="1:16" x14ac:dyDescent="0.3">
      <c r="A230" t="s">
        <v>331</v>
      </c>
      <c r="B230" s="2">
        <v>46266.459027777775</v>
      </c>
      <c r="C230" t="s">
        <v>143</v>
      </c>
      <c r="D230" t="s">
        <v>9</v>
      </c>
      <c r="E230" t="s">
        <v>3</v>
      </c>
      <c r="F230" t="s">
        <v>25</v>
      </c>
      <c r="G230">
        <v>5</v>
      </c>
      <c r="H230" s="3">
        <v>15000</v>
      </c>
      <c r="I230" s="4">
        <v>0.1</v>
      </c>
      <c r="J230" s="3">
        <v>13500</v>
      </c>
      <c r="K230" s="3">
        <v>67500</v>
      </c>
      <c r="L230" s="3">
        <v>45601</v>
      </c>
      <c r="M230" s="3">
        <v>21899</v>
      </c>
      <c r="N230" t="s">
        <v>16</v>
      </c>
      <c r="O230" t="s">
        <v>332</v>
      </c>
      <c r="P230">
        <v>9</v>
      </c>
    </row>
    <row r="231" spans="1:16" x14ac:dyDescent="0.3">
      <c r="A231" t="s">
        <v>333</v>
      </c>
      <c r="B231" s="2">
        <v>46266.711111111108</v>
      </c>
      <c r="C231" t="s">
        <v>334</v>
      </c>
      <c r="D231" t="s">
        <v>100</v>
      </c>
      <c r="E231" t="s">
        <v>14</v>
      </c>
      <c r="F231" t="s">
        <v>15</v>
      </c>
      <c r="G231">
        <v>5</v>
      </c>
      <c r="H231" s="3">
        <v>12000</v>
      </c>
      <c r="I231" s="4">
        <v>0.05</v>
      </c>
      <c r="J231" s="3">
        <v>11400</v>
      </c>
      <c r="K231" s="3">
        <v>57000</v>
      </c>
      <c r="L231" s="3">
        <v>40457.379999999997</v>
      </c>
      <c r="M231" s="3">
        <v>16542.62</v>
      </c>
      <c r="N231" t="s">
        <v>33</v>
      </c>
      <c r="O231" t="s">
        <v>332</v>
      </c>
      <c r="P231">
        <v>9</v>
      </c>
    </row>
    <row r="232" spans="1:16" x14ac:dyDescent="0.3">
      <c r="A232" t="s">
        <v>335</v>
      </c>
      <c r="B232" s="2">
        <v>46268.796527777777</v>
      </c>
      <c r="C232" t="s">
        <v>154</v>
      </c>
      <c r="D232" t="s">
        <v>24</v>
      </c>
      <c r="E232" t="s">
        <v>3</v>
      </c>
      <c r="F232" t="s">
        <v>44</v>
      </c>
      <c r="G232">
        <v>1</v>
      </c>
      <c r="H232" s="3">
        <v>55000</v>
      </c>
      <c r="I232" s="4">
        <v>0.1</v>
      </c>
      <c r="J232" s="3">
        <v>49500</v>
      </c>
      <c r="K232" s="3">
        <v>49500</v>
      </c>
      <c r="L232" s="3">
        <v>38876.410000000003</v>
      </c>
      <c r="M232" s="3">
        <v>10623.59</v>
      </c>
      <c r="N232" t="s">
        <v>39</v>
      </c>
      <c r="O232" t="s">
        <v>332</v>
      </c>
      <c r="P232">
        <v>9</v>
      </c>
    </row>
    <row r="233" spans="1:16" x14ac:dyDescent="0.3">
      <c r="A233" t="s">
        <v>336</v>
      </c>
      <c r="B233" s="2">
        <v>46269.741666666669</v>
      </c>
      <c r="C233" t="s">
        <v>99</v>
      </c>
      <c r="D233" t="s">
        <v>9</v>
      </c>
      <c r="E233" t="s">
        <v>3</v>
      </c>
      <c r="F233" t="s">
        <v>25</v>
      </c>
      <c r="G233">
        <v>4</v>
      </c>
      <c r="H233" s="3">
        <v>15000</v>
      </c>
      <c r="I233" s="4">
        <v>0</v>
      </c>
      <c r="J233" s="3">
        <v>15000</v>
      </c>
      <c r="K233" s="3">
        <v>60000</v>
      </c>
      <c r="L233" s="3">
        <v>42964.88</v>
      </c>
      <c r="M233" s="3">
        <v>17035.12</v>
      </c>
      <c r="N233" t="s">
        <v>33</v>
      </c>
      <c r="O233" t="s">
        <v>332</v>
      </c>
      <c r="P233">
        <v>9</v>
      </c>
    </row>
    <row r="234" spans="1:16" x14ac:dyDescent="0.3">
      <c r="A234" t="s">
        <v>337</v>
      </c>
      <c r="B234" s="2">
        <v>46269.647222222222</v>
      </c>
      <c r="C234" t="s">
        <v>154</v>
      </c>
      <c r="D234" t="s">
        <v>47</v>
      </c>
      <c r="E234" t="s">
        <v>3</v>
      </c>
      <c r="F234" t="s">
        <v>25</v>
      </c>
      <c r="G234">
        <v>3</v>
      </c>
      <c r="H234" s="3">
        <v>28000</v>
      </c>
      <c r="I234" s="4">
        <v>0</v>
      </c>
      <c r="J234" s="3">
        <v>28000</v>
      </c>
      <c r="K234" s="3">
        <v>84000</v>
      </c>
      <c r="L234" s="3">
        <v>64104.45</v>
      </c>
      <c r="M234" s="3">
        <v>19895.55</v>
      </c>
      <c r="N234" t="s">
        <v>5</v>
      </c>
      <c r="O234" t="s">
        <v>332</v>
      </c>
      <c r="P234">
        <v>9</v>
      </c>
    </row>
    <row r="235" spans="1:16" x14ac:dyDescent="0.3">
      <c r="A235" t="s">
        <v>338</v>
      </c>
      <c r="B235" s="2">
        <v>46269.821527777778</v>
      </c>
      <c r="C235" t="s">
        <v>86</v>
      </c>
      <c r="D235" t="s">
        <v>100</v>
      </c>
      <c r="E235" t="s">
        <v>14</v>
      </c>
      <c r="F235" t="s">
        <v>44</v>
      </c>
      <c r="G235">
        <v>2</v>
      </c>
      <c r="H235" s="3">
        <v>12000</v>
      </c>
      <c r="I235" s="4">
        <v>0</v>
      </c>
      <c r="J235" s="3">
        <v>12000</v>
      </c>
      <c r="K235" s="3">
        <v>24000</v>
      </c>
      <c r="L235" s="3">
        <v>16863.57</v>
      </c>
      <c r="M235" s="3">
        <v>7136.43</v>
      </c>
      <c r="N235" t="s">
        <v>16</v>
      </c>
      <c r="O235" t="s">
        <v>332</v>
      </c>
      <c r="P235">
        <v>9</v>
      </c>
    </row>
    <row r="236" spans="1:16" x14ac:dyDescent="0.3">
      <c r="A236" t="s">
        <v>339</v>
      </c>
      <c r="B236" s="2">
        <v>46271.70416666667</v>
      </c>
      <c r="C236" t="s">
        <v>288</v>
      </c>
      <c r="D236" t="s">
        <v>9</v>
      </c>
      <c r="E236" t="s">
        <v>3</v>
      </c>
      <c r="F236" t="s">
        <v>44</v>
      </c>
      <c r="G236">
        <v>1</v>
      </c>
      <c r="H236" s="3">
        <v>15000</v>
      </c>
      <c r="I236" s="4">
        <v>0.1</v>
      </c>
      <c r="J236" s="3">
        <v>13500</v>
      </c>
      <c r="K236" s="3">
        <v>13500</v>
      </c>
      <c r="L236" s="3">
        <v>9777.1299999999992</v>
      </c>
      <c r="M236" s="3">
        <v>3722.87</v>
      </c>
      <c r="N236" t="s">
        <v>19</v>
      </c>
      <c r="O236" t="s">
        <v>332</v>
      </c>
      <c r="P236">
        <v>9</v>
      </c>
    </row>
    <row r="237" spans="1:16" x14ac:dyDescent="0.3">
      <c r="A237" t="s">
        <v>340</v>
      </c>
      <c r="B237" s="2">
        <v>46275.620138888888</v>
      </c>
      <c r="C237" t="s">
        <v>58</v>
      </c>
      <c r="D237" t="s">
        <v>50</v>
      </c>
      <c r="E237" t="s">
        <v>29</v>
      </c>
      <c r="F237" t="s">
        <v>4</v>
      </c>
      <c r="G237">
        <v>3</v>
      </c>
      <c r="H237" s="3">
        <v>1200</v>
      </c>
      <c r="I237" s="4">
        <v>0</v>
      </c>
      <c r="J237" s="3">
        <v>1200</v>
      </c>
      <c r="K237" s="3">
        <v>3600</v>
      </c>
      <c r="L237" s="3">
        <v>2512.39</v>
      </c>
      <c r="M237" s="3">
        <v>1087.6099999999999</v>
      </c>
      <c r="N237" t="s">
        <v>19</v>
      </c>
      <c r="O237" t="s">
        <v>332</v>
      </c>
      <c r="P237">
        <v>9</v>
      </c>
    </row>
    <row r="238" spans="1:16" x14ac:dyDescent="0.3">
      <c r="A238" t="s">
        <v>341</v>
      </c>
      <c r="B238" s="2">
        <v>46276.482638888891</v>
      </c>
      <c r="C238" t="s">
        <v>21</v>
      </c>
      <c r="D238" t="s">
        <v>32</v>
      </c>
      <c r="E238" t="s">
        <v>3</v>
      </c>
      <c r="F238" t="s">
        <v>4</v>
      </c>
      <c r="G238">
        <v>3</v>
      </c>
      <c r="H238" s="3">
        <v>11000</v>
      </c>
      <c r="I238" s="4">
        <v>0</v>
      </c>
      <c r="J238" s="3">
        <v>11000</v>
      </c>
      <c r="K238" s="3">
        <v>33000</v>
      </c>
      <c r="L238" s="3">
        <v>21688.560000000001</v>
      </c>
      <c r="M238" s="3">
        <v>11311.44</v>
      </c>
      <c r="N238" t="s">
        <v>5</v>
      </c>
      <c r="O238" t="s">
        <v>332</v>
      </c>
      <c r="P238">
        <v>9</v>
      </c>
    </row>
    <row r="239" spans="1:16" x14ac:dyDescent="0.3">
      <c r="A239" t="s">
        <v>342</v>
      </c>
      <c r="B239" s="2">
        <v>46277.770138888889</v>
      </c>
      <c r="C239" t="s">
        <v>18</v>
      </c>
      <c r="D239" t="s">
        <v>9</v>
      </c>
      <c r="E239" t="s">
        <v>3</v>
      </c>
      <c r="F239" t="s">
        <v>15</v>
      </c>
      <c r="G239">
        <v>3</v>
      </c>
      <c r="H239" s="3">
        <v>15000</v>
      </c>
      <c r="I239" s="4">
        <v>0.1</v>
      </c>
      <c r="J239" s="3">
        <v>13500</v>
      </c>
      <c r="K239" s="3">
        <v>40500</v>
      </c>
      <c r="L239" s="3">
        <v>32850.089999999997</v>
      </c>
      <c r="M239" s="3">
        <v>7649.91</v>
      </c>
      <c r="N239" t="s">
        <v>10</v>
      </c>
      <c r="O239" t="s">
        <v>332</v>
      </c>
      <c r="P239">
        <v>9</v>
      </c>
    </row>
    <row r="240" spans="1:16" x14ac:dyDescent="0.3">
      <c r="A240" t="s">
        <v>343</v>
      </c>
      <c r="B240" s="2">
        <v>46279.647916666669</v>
      </c>
      <c r="C240" t="s">
        <v>56</v>
      </c>
      <c r="D240" t="s">
        <v>63</v>
      </c>
      <c r="E240" t="s">
        <v>29</v>
      </c>
      <c r="F240" t="s">
        <v>4</v>
      </c>
      <c r="G240">
        <v>2</v>
      </c>
      <c r="H240" s="3">
        <v>1800</v>
      </c>
      <c r="I240" s="4">
        <v>0.05</v>
      </c>
      <c r="J240" s="3">
        <v>1710</v>
      </c>
      <c r="K240" s="3">
        <v>3420</v>
      </c>
      <c r="L240" s="3">
        <v>2255.41</v>
      </c>
      <c r="M240" s="3">
        <v>1164.5899999999999</v>
      </c>
      <c r="N240" t="s">
        <v>33</v>
      </c>
      <c r="O240" t="s">
        <v>332</v>
      </c>
      <c r="P240">
        <v>9</v>
      </c>
    </row>
    <row r="241" spans="1:16" x14ac:dyDescent="0.3">
      <c r="A241" t="s">
        <v>344</v>
      </c>
      <c r="B241" s="2">
        <v>46282.835416666669</v>
      </c>
      <c r="C241" t="s">
        <v>138</v>
      </c>
      <c r="D241" t="s">
        <v>24</v>
      </c>
      <c r="E241" t="s">
        <v>3</v>
      </c>
      <c r="F241" t="s">
        <v>4</v>
      </c>
      <c r="G241">
        <v>2</v>
      </c>
      <c r="H241" s="3">
        <v>55000</v>
      </c>
      <c r="I241" s="4">
        <v>0</v>
      </c>
      <c r="J241" s="3">
        <v>55000</v>
      </c>
      <c r="K241" s="3">
        <v>110000</v>
      </c>
      <c r="L241" s="3">
        <v>69230.48</v>
      </c>
      <c r="M241" s="3">
        <v>40769.519999999997</v>
      </c>
      <c r="N241" t="s">
        <v>39</v>
      </c>
      <c r="O241" t="s">
        <v>332</v>
      </c>
      <c r="P241">
        <v>9</v>
      </c>
    </row>
    <row r="242" spans="1:16" x14ac:dyDescent="0.3">
      <c r="A242" t="s">
        <v>345</v>
      </c>
      <c r="B242" s="2">
        <v>46282.59375</v>
      </c>
      <c r="C242" t="s">
        <v>109</v>
      </c>
      <c r="D242" t="s">
        <v>13</v>
      </c>
      <c r="E242" t="s">
        <v>14</v>
      </c>
      <c r="F242" t="s">
        <v>44</v>
      </c>
      <c r="G242">
        <v>5</v>
      </c>
      <c r="H242" s="3">
        <v>8500</v>
      </c>
      <c r="I242" s="4">
        <v>0.15</v>
      </c>
      <c r="J242" s="3">
        <v>7225</v>
      </c>
      <c r="K242" s="3">
        <v>36125</v>
      </c>
      <c r="L242" s="3">
        <v>23192.28</v>
      </c>
      <c r="M242" s="3">
        <v>12932.72</v>
      </c>
      <c r="N242" t="s">
        <v>39</v>
      </c>
      <c r="O242" t="s">
        <v>332</v>
      </c>
      <c r="P242">
        <v>9</v>
      </c>
    </row>
    <row r="243" spans="1:16" x14ac:dyDescent="0.3">
      <c r="A243" t="s">
        <v>346</v>
      </c>
      <c r="B243" s="2">
        <v>46283.84097222222</v>
      </c>
      <c r="C243" t="s">
        <v>41</v>
      </c>
      <c r="D243" t="s">
        <v>47</v>
      </c>
      <c r="E243" t="s">
        <v>3</v>
      </c>
      <c r="F243" t="s">
        <v>25</v>
      </c>
      <c r="G243">
        <v>2</v>
      </c>
      <c r="H243" s="3">
        <v>28000</v>
      </c>
      <c r="I243" s="4">
        <v>0</v>
      </c>
      <c r="J243" s="3">
        <v>28000</v>
      </c>
      <c r="K243" s="3">
        <v>56000</v>
      </c>
      <c r="L243" s="3">
        <v>45151.18</v>
      </c>
      <c r="M243" s="3">
        <v>10848.82</v>
      </c>
      <c r="N243" t="s">
        <v>16</v>
      </c>
      <c r="O243" t="s">
        <v>332</v>
      </c>
      <c r="P243">
        <v>9</v>
      </c>
    </row>
    <row r="244" spans="1:16" x14ac:dyDescent="0.3">
      <c r="A244" t="s">
        <v>347</v>
      </c>
      <c r="B244" s="2">
        <v>46283.854861111111</v>
      </c>
      <c r="C244" t="s">
        <v>348</v>
      </c>
      <c r="D244" t="s">
        <v>24</v>
      </c>
      <c r="E244" t="s">
        <v>3</v>
      </c>
      <c r="F244" t="s">
        <v>44</v>
      </c>
      <c r="G244">
        <v>5</v>
      </c>
      <c r="H244" s="3">
        <v>55000</v>
      </c>
      <c r="I244" s="4">
        <v>0.15</v>
      </c>
      <c r="J244" s="3">
        <v>46750</v>
      </c>
      <c r="K244" s="3">
        <v>233750</v>
      </c>
      <c r="L244" s="3">
        <v>148998.57999999999</v>
      </c>
      <c r="M244" s="3">
        <v>84751.42</v>
      </c>
      <c r="N244" t="s">
        <v>5</v>
      </c>
      <c r="O244" t="s">
        <v>332</v>
      </c>
      <c r="P244">
        <v>9</v>
      </c>
    </row>
    <row r="245" spans="1:16" x14ac:dyDescent="0.3">
      <c r="A245" t="s">
        <v>349</v>
      </c>
      <c r="B245" s="2">
        <v>46283.434027777781</v>
      </c>
      <c r="C245" t="s">
        <v>172</v>
      </c>
      <c r="D245" t="s">
        <v>47</v>
      </c>
      <c r="E245" t="s">
        <v>3</v>
      </c>
      <c r="F245" t="s">
        <v>44</v>
      </c>
      <c r="G245">
        <v>4</v>
      </c>
      <c r="H245" s="3">
        <v>28000</v>
      </c>
      <c r="I245" s="4">
        <v>0</v>
      </c>
      <c r="J245" s="3">
        <v>28000</v>
      </c>
      <c r="K245" s="3">
        <v>112000</v>
      </c>
      <c r="L245" s="3">
        <v>91639.26</v>
      </c>
      <c r="M245" s="3">
        <v>20360.740000000002</v>
      </c>
      <c r="N245" t="s">
        <v>19</v>
      </c>
      <c r="O245" t="s">
        <v>332</v>
      </c>
      <c r="P245">
        <v>9</v>
      </c>
    </row>
    <row r="246" spans="1:16" x14ac:dyDescent="0.3">
      <c r="A246" t="s">
        <v>350</v>
      </c>
      <c r="B246" s="2">
        <v>46284.768055555556</v>
      </c>
      <c r="C246" t="s">
        <v>18</v>
      </c>
      <c r="D246" t="s">
        <v>50</v>
      </c>
      <c r="E246" t="s">
        <v>29</v>
      </c>
      <c r="F246" t="s">
        <v>25</v>
      </c>
      <c r="G246">
        <v>1</v>
      </c>
      <c r="H246" s="3">
        <v>1200</v>
      </c>
      <c r="I246" s="4">
        <v>0.05</v>
      </c>
      <c r="J246" s="3">
        <v>1140</v>
      </c>
      <c r="K246" s="3">
        <v>1140</v>
      </c>
      <c r="L246" s="3">
        <v>932.48</v>
      </c>
      <c r="M246" s="3">
        <v>207.52</v>
      </c>
      <c r="N246" t="s">
        <v>16</v>
      </c>
      <c r="O246" t="s">
        <v>332</v>
      </c>
      <c r="P246">
        <v>9</v>
      </c>
    </row>
    <row r="247" spans="1:16" x14ac:dyDescent="0.3">
      <c r="A247" t="s">
        <v>351</v>
      </c>
      <c r="B247" s="2">
        <v>46284.345138888886</v>
      </c>
      <c r="C247" t="s">
        <v>162</v>
      </c>
      <c r="D247" t="s">
        <v>2</v>
      </c>
      <c r="E247" t="s">
        <v>3</v>
      </c>
      <c r="F247" t="s">
        <v>15</v>
      </c>
      <c r="G247">
        <v>3</v>
      </c>
      <c r="H247" s="3">
        <v>3500</v>
      </c>
      <c r="I247" s="4">
        <v>0</v>
      </c>
      <c r="J247" s="3">
        <v>3500</v>
      </c>
      <c r="K247" s="3">
        <v>10500</v>
      </c>
      <c r="L247" s="3">
        <v>7765.4</v>
      </c>
      <c r="M247" s="3">
        <v>2734.6</v>
      </c>
      <c r="N247" t="s">
        <v>5</v>
      </c>
      <c r="O247" t="s">
        <v>332</v>
      </c>
      <c r="P247">
        <v>9</v>
      </c>
    </row>
    <row r="248" spans="1:16" x14ac:dyDescent="0.3">
      <c r="A248" t="s">
        <v>352</v>
      </c>
      <c r="B248" s="2">
        <v>46286.481249999997</v>
      </c>
      <c r="C248" t="s">
        <v>23</v>
      </c>
      <c r="D248" t="s">
        <v>24</v>
      </c>
      <c r="E248" t="s">
        <v>3</v>
      </c>
      <c r="F248" t="s">
        <v>44</v>
      </c>
      <c r="G248">
        <v>3</v>
      </c>
      <c r="H248" s="3">
        <v>55000</v>
      </c>
      <c r="I248" s="4">
        <v>0.1</v>
      </c>
      <c r="J248" s="3">
        <v>49500</v>
      </c>
      <c r="K248" s="3">
        <v>148500</v>
      </c>
      <c r="L248" s="3">
        <v>110669.71</v>
      </c>
      <c r="M248" s="3">
        <v>37830.29</v>
      </c>
      <c r="N248" t="s">
        <v>33</v>
      </c>
      <c r="O248" t="s">
        <v>332</v>
      </c>
      <c r="P248">
        <v>9</v>
      </c>
    </row>
    <row r="249" spans="1:16" x14ac:dyDescent="0.3">
      <c r="A249" t="s">
        <v>353</v>
      </c>
      <c r="B249" s="2">
        <v>46287.55</v>
      </c>
      <c r="C249" t="s">
        <v>65</v>
      </c>
      <c r="D249" t="s">
        <v>47</v>
      </c>
      <c r="E249" t="s">
        <v>3</v>
      </c>
      <c r="F249" t="s">
        <v>44</v>
      </c>
      <c r="G249">
        <v>5</v>
      </c>
      <c r="H249" s="3">
        <v>28000</v>
      </c>
      <c r="I249" s="4">
        <v>0</v>
      </c>
      <c r="J249" s="3">
        <v>28000</v>
      </c>
      <c r="K249" s="3">
        <v>140000</v>
      </c>
      <c r="L249" s="3">
        <v>103263.27</v>
      </c>
      <c r="M249" s="3">
        <v>36736.730000000003</v>
      </c>
      <c r="N249" t="s">
        <v>33</v>
      </c>
      <c r="O249" t="s">
        <v>332</v>
      </c>
      <c r="P249">
        <v>9</v>
      </c>
    </row>
    <row r="250" spans="1:16" x14ac:dyDescent="0.3">
      <c r="A250" t="s">
        <v>354</v>
      </c>
      <c r="B250" s="2">
        <v>46292.4</v>
      </c>
      <c r="C250" t="s">
        <v>181</v>
      </c>
      <c r="D250" t="s">
        <v>32</v>
      </c>
      <c r="E250" t="s">
        <v>3</v>
      </c>
      <c r="F250" t="s">
        <v>25</v>
      </c>
      <c r="G250">
        <v>2</v>
      </c>
      <c r="H250" s="3">
        <v>11000</v>
      </c>
      <c r="I250" s="4">
        <v>0.1</v>
      </c>
      <c r="J250" s="3">
        <v>9900</v>
      </c>
      <c r="K250" s="3">
        <v>19800</v>
      </c>
      <c r="L250" s="3">
        <v>12699.09</v>
      </c>
      <c r="M250" s="3">
        <v>7100.91</v>
      </c>
      <c r="N250" t="s">
        <v>39</v>
      </c>
      <c r="O250" t="s">
        <v>332</v>
      </c>
      <c r="P250">
        <v>9</v>
      </c>
    </row>
    <row r="251" spans="1:16" x14ac:dyDescent="0.3">
      <c r="A251" t="s">
        <v>355</v>
      </c>
      <c r="B251" s="2">
        <v>46294.715277777781</v>
      </c>
      <c r="C251" t="s">
        <v>176</v>
      </c>
      <c r="D251" t="s">
        <v>9</v>
      </c>
      <c r="E251" t="s">
        <v>3</v>
      </c>
      <c r="F251" t="s">
        <v>25</v>
      </c>
      <c r="G251">
        <v>1</v>
      </c>
      <c r="H251" s="3">
        <v>15000</v>
      </c>
      <c r="I251" s="4">
        <v>0</v>
      </c>
      <c r="J251" s="3">
        <v>15000</v>
      </c>
      <c r="K251" s="3">
        <v>15000</v>
      </c>
      <c r="L251" s="3">
        <v>11570.94</v>
      </c>
      <c r="M251" s="3">
        <v>3429.06</v>
      </c>
      <c r="N251" t="s">
        <v>33</v>
      </c>
      <c r="O251" t="s">
        <v>332</v>
      </c>
      <c r="P251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CF0D7-565A-42DC-89CA-647150BF6404}">
  <dimension ref="A3:I76"/>
  <sheetViews>
    <sheetView tabSelected="1" zoomScale="73" workbookViewId="0">
      <selection activeCell="O28" sqref="O28"/>
    </sheetView>
  </sheetViews>
  <sheetFormatPr defaultRowHeight="14.4" x14ac:dyDescent="0.3"/>
  <cols>
    <col min="1" max="1" width="27.6640625" customWidth="1"/>
    <col min="2" max="2" width="18.21875" customWidth="1"/>
    <col min="3" max="3" width="17.5546875" customWidth="1"/>
    <col min="4" max="4" width="18.6640625" customWidth="1"/>
    <col min="5" max="5" width="18.44140625" style="9" customWidth="1"/>
    <col min="6" max="6" width="29" customWidth="1"/>
    <col min="8" max="8" width="24" customWidth="1"/>
    <col min="9" max="9" width="23.77734375" customWidth="1"/>
  </cols>
  <sheetData>
    <row r="3" spans="1:9" ht="15" x14ac:dyDescent="0.35">
      <c r="A3" s="5" t="s">
        <v>372</v>
      </c>
      <c r="B3" s="5" t="s">
        <v>373</v>
      </c>
      <c r="C3" s="5" t="s">
        <v>374</v>
      </c>
      <c r="D3" s="5" t="s">
        <v>375</v>
      </c>
      <c r="E3" s="8" t="s">
        <v>376</v>
      </c>
      <c r="F3" s="6" t="s">
        <v>377</v>
      </c>
    </row>
    <row r="4" spans="1:9" x14ac:dyDescent="0.3">
      <c r="A4" t="s">
        <v>1</v>
      </c>
      <c r="B4" s="5">
        <f>COUNTIF('Sales Data'!$C2:$C251,"Mansi Patel")</f>
        <v>2</v>
      </c>
      <c r="C4" s="5">
        <f>SUMIF('Sales Data'!$C2:$C251,"Mansi Patel",'Sales Data'!$K2:$K251)</f>
        <v>18245</v>
      </c>
      <c r="D4" s="7">
        <f>_xlfn.MAXIFS('Sales Data'!$B2:$B251,'Sales Data'!$C2:$C251,A4)</f>
        <v>46204.646527777775</v>
      </c>
      <c r="E4" s="8">
        <f>INT(MAX('Sales Data'!$B2:$B251)-D4)</f>
        <v>90</v>
      </c>
      <c r="F4" s="5" t="str">
        <f t="shared" ref="F4:F35" si="0">IF(AND(B4&gt;=5,C4&gt;=200000,E4&lt;=30),"VIP Customer",IF(AND(B4&gt;=3,C4&gt;=100000,E4&lt;=60),"Loyal Customer",IF(AND(B4&gt;=2,C4&gt;=50000,E4&lt;=90),"Potential Customer",IF(E4&gt;90,"At Risk","Low Value"))))</f>
        <v>Low Value</v>
      </c>
    </row>
    <row r="5" spans="1:9" x14ac:dyDescent="0.3">
      <c r="A5" t="s">
        <v>8</v>
      </c>
      <c r="B5" s="5">
        <f>COUNTIF('Sales Data'!$C2:$C251,"Chirag Mehta")</f>
        <v>3</v>
      </c>
      <c r="C5" s="5">
        <f>SUMIF('Sales Data'!$C3:$C252,"Chirag Mehta",'Sales Data'!$K3:$K252)</f>
        <v>127000</v>
      </c>
      <c r="D5" s="7">
        <f>_xlfn.MAXIFS('Sales Data'!$B2:$B251,'Sales Data'!$C2:$C251,A5)</f>
        <v>46219.807638888888</v>
      </c>
      <c r="E5" s="8">
        <f>INT(MAX('Sales Data'!$B2:$B251)-D5)</f>
        <v>74</v>
      </c>
      <c r="F5" s="5" t="str">
        <f t="shared" si="0"/>
        <v>Potential Customer</v>
      </c>
    </row>
    <row r="6" spans="1:9" x14ac:dyDescent="0.3">
      <c r="A6" t="s">
        <v>12</v>
      </c>
      <c r="B6" s="5">
        <f>COUNTIF('Sales Data'!$C2:$C251,"Rohan Desai")</f>
        <v>4</v>
      </c>
      <c r="C6" s="5">
        <f>SUMIF('Sales Data'!$C2:$C251,"Rohan Desai",'Sales Data'!$K2:$K251)</f>
        <v>265300</v>
      </c>
      <c r="D6" s="7">
        <f>_xlfn.MAXIFS('Sales Data'!$B2:$B251,'Sales Data'!$C2:$C251,A6)</f>
        <v>46231.434027777781</v>
      </c>
      <c r="E6" s="8">
        <f>INT(MAX('Sales Data'!$B2:$B251)-D6)</f>
        <v>63</v>
      </c>
      <c r="F6" s="5" t="str">
        <f t="shared" si="0"/>
        <v>Potential Customer</v>
      </c>
      <c r="H6" s="5" t="s">
        <v>377</v>
      </c>
      <c r="I6" s="5" t="s">
        <v>378</v>
      </c>
    </row>
    <row r="7" spans="1:9" x14ac:dyDescent="0.3">
      <c r="A7" t="s">
        <v>18</v>
      </c>
      <c r="B7" s="5">
        <f>COUNTIF('Sales Data'!$C2:$C251,"Anjali Desai")</f>
        <v>8</v>
      </c>
      <c r="C7" s="5">
        <f>SUMIF('Sales Data'!$C2:$C251,"Anjali Desai",'Sales Data'!$K2:$K251)</f>
        <v>165290</v>
      </c>
      <c r="D7" s="7">
        <f>_xlfn.MAXIFS('Sales Data'!$B2:$B251,'Sales Data'!$C2:$C251,A7)</f>
        <v>46284.768055555556</v>
      </c>
      <c r="E7" s="8">
        <f>INT(MAX('Sales Data'!$B2:$B251)-D7)</f>
        <v>9</v>
      </c>
      <c r="F7" s="5" t="str">
        <f t="shared" si="0"/>
        <v>Loyal Customer</v>
      </c>
      <c r="H7" t="s">
        <v>379</v>
      </c>
      <c r="I7">
        <f t="shared" ref="I7:I11" si="1">COUNTIF(F4:F76,"VIP Customer")</f>
        <v>3</v>
      </c>
    </row>
    <row r="8" spans="1:9" x14ac:dyDescent="0.3">
      <c r="A8" t="s">
        <v>21</v>
      </c>
      <c r="B8" s="5">
        <f>COUNTIF('Sales Data'!$C2:$C251,"Nirav Desai")</f>
        <v>6</v>
      </c>
      <c r="C8" s="5">
        <f>SUMIF('Sales Data'!$C2:$C251,"Nirav Desai",'Sales Data'!$K2:$K251)</f>
        <v>196820</v>
      </c>
      <c r="D8" s="7">
        <f>_xlfn.MAXIFS('Sales Data'!$B2:$B251,'Sales Data'!$C2:$C251,A8)</f>
        <v>46276.482638888891</v>
      </c>
      <c r="E8" s="8">
        <f>INT(MAX('Sales Data'!$B2:$B251)-D8)</f>
        <v>18</v>
      </c>
      <c r="F8" s="5" t="str">
        <f t="shared" si="0"/>
        <v>Loyal Customer</v>
      </c>
      <c r="H8" t="s">
        <v>380</v>
      </c>
      <c r="I8">
        <f>COUNTIF(F4:F76,"Loyal Customer")</f>
        <v>20</v>
      </c>
    </row>
    <row r="9" spans="1:9" x14ac:dyDescent="0.3">
      <c r="A9" t="s">
        <v>23</v>
      </c>
      <c r="B9" s="5">
        <f>COUNTIF('Sales Data'!$C2:$C251,"Vivek Shah")</f>
        <v>5</v>
      </c>
      <c r="C9" s="5">
        <f>SUMIF('Sales Data'!$C2:$C251,"Vivek Shah",'Sales Data'!$K2:$K251)</f>
        <v>424500</v>
      </c>
      <c r="D9" s="7">
        <f>_xlfn.MAXIFS('Sales Data'!$B2:$B251,'Sales Data'!$C2:$C251,A9)</f>
        <v>46286.481249999997</v>
      </c>
      <c r="E9" s="8">
        <f>INT(MAX('Sales Data'!$B2:$B251)-D9)</f>
        <v>8</v>
      </c>
      <c r="F9" s="5" t="str">
        <f t="shared" si="0"/>
        <v>VIP Customer</v>
      </c>
      <c r="H9" t="s">
        <v>381</v>
      </c>
      <c r="I9">
        <f>COUNTIF(F4:F76,"Potential Customer")</f>
        <v>17</v>
      </c>
    </row>
    <row r="10" spans="1:9" x14ac:dyDescent="0.3">
      <c r="A10" t="s">
        <v>27</v>
      </c>
      <c r="B10" s="5">
        <f>COUNTIF('Sales Data'!$C2:$C251,"Vishal Mehta")</f>
        <v>1</v>
      </c>
      <c r="C10" s="5">
        <f>SUMIF('Sales Data'!$C2:$C251,"Vishal Mehta",'Sales Data'!$K2:$K251)</f>
        <v>8800</v>
      </c>
      <c r="D10" s="7">
        <f>_xlfn.MAXIFS('Sales Data'!$B2:$B251,'Sales Data'!$C2:$C251,A10)</f>
        <v>46036.633333333331</v>
      </c>
      <c r="E10" s="8">
        <f>INT(MAX('Sales Data'!$B2:$B251)-D10)</f>
        <v>258</v>
      </c>
      <c r="F10" s="5" t="str">
        <f t="shared" si="0"/>
        <v>At Risk</v>
      </c>
      <c r="H10" t="s">
        <v>382</v>
      </c>
      <c r="I10">
        <f>COUNTIF(F4:F76,"At Risk")</f>
        <v>22</v>
      </c>
    </row>
    <row r="11" spans="1:9" x14ac:dyDescent="0.3">
      <c r="A11" t="s">
        <v>31</v>
      </c>
      <c r="B11" s="5">
        <f>COUNTIF('Sales Data'!$C2:$C251,"Aditi Joshi")</f>
        <v>2</v>
      </c>
      <c r="C11" s="5">
        <f>SUMIF('Sales Data'!$C2:$C251,"Aditi Joshi",'Sales Data'!$K2:$K251)</f>
        <v>50300</v>
      </c>
      <c r="D11" s="7">
        <f>_xlfn.MAXIFS('Sales Data'!$B2:$B251,'Sales Data'!$C2:$C251,A11)</f>
        <v>46238.783333333333</v>
      </c>
      <c r="E11" s="8">
        <f>INT(MAX('Sales Data'!$B2:$B251)-D11)</f>
        <v>55</v>
      </c>
      <c r="F11" s="5" t="str">
        <f t="shared" si="0"/>
        <v>Potential Customer</v>
      </c>
      <c r="H11" t="s">
        <v>383</v>
      </c>
      <c r="I11">
        <f>COUNTIF(F4:F76,"Low Value")</f>
        <v>11</v>
      </c>
    </row>
    <row r="12" spans="1:9" x14ac:dyDescent="0.3">
      <c r="A12" t="s">
        <v>35</v>
      </c>
      <c r="B12" s="5">
        <f>COUNTIF('Sales Data'!$C2:$C251,"Hardik Patel")</f>
        <v>2</v>
      </c>
      <c r="C12" s="5">
        <f>SUMIF('Sales Data'!$C2:$C251,"Hardik Patel",'Sales Data'!$K2:$K251)</f>
        <v>19710</v>
      </c>
      <c r="D12" s="7">
        <f>_xlfn.MAXIFS('Sales Data'!$B2:$B251,'Sales Data'!$C2:$C251,A12)</f>
        <v>46077.620833333334</v>
      </c>
      <c r="E12" s="8">
        <f>INT(MAX('Sales Data'!$B2:$B251)-D12)</f>
        <v>217</v>
      </c>
      <c r="F12" s="5" t="str">
        <f t="shared" si="0"/>
        <v>At Risk</v>
      </c>
    </row>
    <row r="13" spans="1:9" x14ac:dyDescent="0.3">
      <c r="A13" t="s">
        <v>38</v>
      </c>
      <c r="B13" s="5">
        <f>COUNTIF('Sales Data'!$C2:$C251,"Arjun Mehta")</f>
        <v>2</v>
      </c>
      <c r="C13" s="5">
        <f>SUMIF('Sales Data'!$C2:$C251,"Arjun Mehta",'Sales Data'!$K2:$K251)</f>
        <v>17700</v>
      </c>
      <c r="D13" s="7">
        <f>_xlfn.MAXIFS('Sales Data'!$B2:$B251,'Sales Data'!$C2:$C251,A13)</f>
        <v>46181.408333333333</v>
      </c>
      <c r="E13" s="8">
        <f>INT(MAX('Sales Data'!$B2:$B251)-D13)</f>
        <v>113</v>
      </c>
      <c r="F13" s="5" t="str">
        <f t="shared" si="0"/>
        <v>At Risk</v>
      </c>
    </row>
    <row r="14" spans="1:9" x14ac:dyDescent="0.3">
      <c r="A14" t="s">
        <v>41</v>
      </c>
      <c r="B14" s="5">
        <f>COUNTIF('Sales Data'!$C2:$C251,"Raj Desai")</f>
        <v>3</v>
      </c>
      <c r="C14" s="5">
        <f>SUMIF('Sales Data'!$C2:$C251,"Raj Desai",'Sales Data'!$K2:$K251)</f>
        <v>142000</v>
      </c>
      <c r="D14" s="7">
        <f>_xlfn.MAXIFS('Sales Data'!$B2:$B251,'Sales Data'!$C2:$C251,A14)</f>
        <v>46283.84097222222</v>
      </c>
      <c r="E14" s="8">
        <f>INT(MAX('Sales Data'!$B2:$B251)-D14)</f>
        <v>10</v>
      </c>
      <c r="F14" s="5" t="str">
        <f t="shared" si="0"/>
        <v>Loyal Customer</v>
      </c>
    </row>
    <row r="15" spans="1:9" x14ac:dyDescent="0.3">
      <c r="A15" t="s">
        <v>43</v>
      </c>
      <c r="B15" s="5">
        <f>COUNTIF('Sales Data'!$C2:$C251,"Jay Joshi")</f>
        <v>8</v>
      </c>
      <c r="C15" s="5">
        <f>SUMIF('Sales Data'!$C2:$C251,"Jay Joshi",'Sales Data'!$K2:$K251)</f>
        <v>269640</v>
      </c>
      <c r="D15" s="7">
        <f>_xlfn.MAXIFS('Sales Data'!$B2:$B251,'Sales Data'!$C2:$C251,A15)</f>
        <v>46260.78125</v>
      </c>
      <c r="E15" s="8">
        <f>INT(MAX('Sales Data'!$B2:$B251)-D15)</f>
        <v>33</v>
      </c>
      <c r="F15" s="5" t="str">
        <f t="shared" si="0"/>
        <v>Loyal Customer</v>
      </c>
    </row>
    <row r="16" spans="1:9" x14ac:dyDescent="0.3">
      <c r="A16" t="s">
        <v>46</v>
      </c>
      <c r="B16" s="5">
        <f>COUNTIF('Sales Data'!$C2:$C251,"Kavya Patel")</f>
        <v>4</v>
      </c>
      <c r="C16" s="5">
        <f>SUMIF('Sales Data'!$C2:$C251,"Kavya Patel",'Sales Data'!$K2:$K251)</f>
        <v>123990</v>
      </c>
      <c r="D16" s="7">
        <f>_xlfn.MAXIFS('Sales Data'!$B2:$B251,'Sales Data'!$C2:$C251,A16)</f>
        <v>46210.661111111112</v>
      </c>
      <c r="E16" s="8">
        <f>INT(MAX('Sales Data'!$B2:$B251)-D16)</f>
        <v>84</v>
      </c>
      <c r="F16" s="5" t="str">
        <f t="shared" si="0"/>
        <v>Potential Customer</v>
      </c>
    </row>
    <row r="17" spans="1:6" x14ac:dyDescent="0.3">
      <c r="A17" t="s">
        <v>49</v>
      </c>
      <c r="B17" s="5">
        <f>COUNTIF('Sales Data'!$C2:$C251,"Tushar Patel")</f>
        <v>4</v>
      </c>
      <c r="C17" s="5">
        <f>SUMIF('Sales Data'!$C2:$C251,"Tushar Patel",'Sales Data'!$K2:$K251)</f>
        <v>20250</v>
      </c>
      <c r="D17" s="7">
        <f>_xlfn.MAXIFS('Sales Data'!$B2:$B251,'Sales Data'!$C2:$C251,A17)</f>
        <v>46181.84097222222</v>
      </c>
      <c r="E17" s="8">
        <f>INT(MAX('Sales Data'!$B2:$B251)-D17)</f>
        <v>112</v>
      </c>
      <c r="F17" s="5" t="str">
        <f t="shared" si="0"/>
        <v>At Risk</v>
      </c>
    </row>
    <row r="18" spans="1:6" x14ac:dyDescent="0.3">
      <c r="A18" t="s">
        <v>52</v>
      </c>
      <c r="B18" s="5">
        <f>COUNTIF('Sales Data'!$C2:$C251,"Jinal Desai")</f>
        <v>3</v>
      </c>
      <c r="C18" s="5">
        <f>SUMIF('Sales Data'!$C2:$C251,"Jinal Desai",'Sales Data'!$K2:$K251)</f>
        <v>42840</v>
      </c>
      <c r="D18" s="7">
        <f>_xlfn.MAXIFS('Sales Data'!$B2:$B251,'Sales Data'!$C2:$C251,A18)</f>
        <v>46164.446527777778</v>
      </c>
      <c r="E18" s="8">
        <f>INT(MAX('Sales Data'!$B2:$B251)-D18)</f>
        <v>130</v>
      </c>
      <c r="F18" s="5" t="str">
        <f t="shared" si="0"/>
        <v>At Risk</v>
      </c>
    </row>
    <row r="19" spans="1:6" x14ac:dyDescent="0.3">
      <c r="A19" t="s">
        <v>54</v>
      </c>
      <c r="B19" s="5">
        <f>COUNTIF('Sales Data'!$C2:$C251,"Pooja Mehta")</f>
        <v>5</v>
      </c>
      <c r="C19" s="5">
        <f>SUMIF('Sales Data'!$C2:$C251,"Pooja Mehta",'Sales Data'!$K2:$K251)</f>
        <v>198880</v>
      </c>
      <c r="D19" s="7">
        <f>_xlfn.MAXIFS('Sales Data'!$B2:$B251,'Sales Data'!$C2:$C251,A19)</f>
        <v>46234.70208333333</v>
      </c>
      <c r="E19" s="8">
        <f>INT(MAX('Sales Data'!$B2:$B251)-D19)</f>
        <v>60</v>
      </c>
      <c r="F19" s="5" t="str">
        <f t="shared" si="0"/>
        <v>Loyal Customer</v>
      </c>
    </row>
    <row r="20" spans="1:6" x14ac:dyDescent="0.3">
      <c r="A20" t="s">
        <v>56</v>
      </c>
      <c r="B20" s="5">
        <f>COUNTIF('Sales Data'!$C2:$C251,"Yug Desai")</f>
        <v>6</v>
      </c>
      <c r="C20" s="5">
        <f>SUMIF('Sales Data'!$C2:$C251,"Yug Desai",'Sales Data'!$K2:$K251)</f>
        <v>123420</v>
      </c>
      <c r="D20" s="7">
        <f>_xlfn.MAXIFS('Sales Data'!$B2:$B251,'Sales Data'!$C2:$C251,A20)</f>
        <v>46279.647916666669</v>
      </c>
      <c r="E20" s="8">
        <f>INT(MAX('Sales Data'!$B2:$B251)-D20)</f>
        <v>15</v>
      </c>
      <c r="F20" s="5" t="str">
        <f t="shared" si="0"/>
        <v>Loyal Customer</v>
      </c>
    </row>
    <row r="21" spans="1:6" x14ac:dyDescent="0.3">
      <c r="A21" t="s">
        <v>58</v>
      </c>
      <c r="B21" s="5">
        <f>COUNTIF('Sales Data'!$C2:$C251,"Kunal Mehta")</f>
        <v>4</v>
      </c>
      <c r="C21" s="5">
        <f>SUMIF('Sales Data'!$C2:$C251,"Kunal Mehta",'Sales Data'!$K2:$K251)</f>
        <v>55000</v>
      </c>
      <c r="D21" s="7">
        <f>_xlfn.MAXIFS('Sales Data'!$B2:$B251,'Sales Data'!$C2:$C251,A21)</f>
        <v>46275.620138888888</v>
      </c>
      <c r="E21" s="8">
        <f>INT(MAX('Sales Data'!$B2:$B251)-D21)</f>
        <v>19</v>
      </c>
      <c r="F21" s="5" t="str">
        <f t="shared" si="0"/>
        <v>Potential Customer</v>
      </c>
    </row>
    <row r="22" spans="1:6" x14ac:dyDescent="0.3">
      <c r="A22" t="s">
        <v>60</v>
      </c>
      <c r="B22" s="5">
        <f>COUNTIF('Sales Data'!$C2:$C251,"Bhavya Shah")</f>
        <v>4</v>
      </c>
      <c r="C22" s="5">
        <f>SUMIF('Sales Data'!$C2:$C251,"Bhavya Shah",'Sales Data'!$K2:$K251)</f>
        <v>221850</v>
      </c>
      <c r="D22" s="7">
        <f>_xlfn.MAXIFS('Sales Data'!$B2:$B251,'Sales Data'!$C2:$C251,A22)</f>
        <v>46204.699305555558</v>
      </c>
      <c r="E22" s="8">
        <f>INT(MAX('Sales Data'!$B2:$B251)-D22)</f>
        <v>90</v>
      </c>
      <c r="F22" s="5" t="str">
        <f t="shared" si="0"/>
        <v>Potential Customer</v>
      </c>
    </row>
    <row r="23" spans="1:6" x14ac:dyDescent="0.3">
      <c r="A23" t="s">
        <v>62</v>
      </c>
      <c r="B23" s="5">
        <f>COUNTIF('Sales Data'!$C2:$C251,"Smit Mehta")</f>
        <v>6</v>
      </c>
      <c r="C23" s="5">
        <f>SUMIF('Sales Data'!$C2:$C251,"Smit Mehta",'Sales Data'!$K2:$K251)</f>
        <v>282900</v>
      </c>
      <c r="D23" s="7">
        <f>_xlfn.MAXIFS('Sales Data'!$B2:$B251,'Sales Data'!$C2:$C251,A23)</f>
        <v>46180.869444444441</v>
      </c>
      <c r="E23" s="8">
        <f>INT(MAX('Sales Data'!$B2:$B251)-D23)</f>
        <v>113</v>
      </c>
      <c r="F23" s="5" t="str">
        <f t="shared" si="0"/>
        <v>At Risk</v>
      </c>
    </row>
    <row r="24" spans="1:6" x14ac:dyDescent="0.3">
      <c r="A24" t="s">
        <v>65</v>
      </c>
      <c r="B24" s="5">
        <f>COUNTIF('Sales Data'!$C2:$C251,"Neha Shah")</f>
        <v>5</v>
      </c>
      <c r="C24" s="5">
        <f>SUMIF('Sales Data'!$C2:$C251,"Neha Shah",'Sales Data'!$K2:$K251)</f>
        <v>168800</v>
      </c>
      <c r="D24" s="7">
        <f>_xlfn.MAXIFS('Sales Data'!$B2:$B251,'Sales Data'!$C2:$C251,A24)</f>
        <v>46287.55</v>
      </c>
      <c r="E24" s="8">
        <f>INT(MAX('Sales Data'!$B2:$B251)-D24)</f>
        <v>7</v>
      </c>
      <c r="F24" s="5" t="str">
        <f t="shared" si="0"/>
        <v>Loyal Customer</v>
      </c>
    </row>
    <row r="25" spans="1:6" x14ac:dyDescent="0.3">
      <c r="A25" t="s">
        <v>67</v>
      </c>
      <c r="B25" s="5">
        <f>COUNTIF('Sales Data'!$C2:$C251,"Vidhi Shah")</f>
        <v>2</v>
      </c>
      <c r="C25" s="5">
        <f>SUMIF('Sales Data'!$C2:$C251,"Vidhi Shah",'Sales Data'!$K2:$K251)</f>
        <v>57350</v>
      </c>
      <c r="D25" s="7">
        <f>_xlfn.MAXIFS('Sales Data'!$B2:$B251,'Sales Data'!$C2:$C251,A25)</f>
        <v>46238.413194444445</v>
      </c>
      <c r="E25" s="8">
        <f>INT(MAX('Sales Data'!$B2:$B251)-D25)</f>
        <v>56</v>
      </c>
      <c r="F25" s="5" t="str">
        <f t="shared" si="0"/>
        <v>Potential Customer</v>
      </c>
    </row>
    <row r="26" spans="1:6" x14ac:dyDescent="0.3">
      <c r="A26" t="s">
        <v>70</v>
      </c>
      <c r="B26" s="5">
        <f>COUNTIF('Sales Data'!$C2:$C251,"Aaradhya Joshi")</f>
        <v>3</v>
      </c>
      <c r="C26" s="5">
        <f>SUMIF('Sales Data'!$C2:$C251,"Aaradhya Joshi",'Sales Data'!$K2:$K251)</f>
        <v>214900</v>
      </c>
      <c r="D26" s="7">
        <f>_xlfn.MAXIFS('Sales Data'!$B2:$B251,'Sales Data'!$C2:$C251,A26)</f>
        <v>46207.364583333336</v>
      </c>
      <c r="E26" s="8">
        <f>INT(MAX('Sales Data'!$B2:$B251)-D26)</f>
        <v>87</v>
      </c>
      <c r="F26" s="5" t="str">
        <f t="shared" si="0"/>
        <v>Potential Customer</v>
      </c>
    </row>
    <row r="27" spans="1:6" x14ac:dyDescent="0.3">
      <c r="A27" t="s">
        <v>72</v>
      </c>
      <c r="B27" s="5">
        <f>COUNTIF('Sales Data'!$C2:$C251,"Ankit Mehta")</f>
        <v>4</v>
      </c>
      <c r="C27" s="5">
        <f>SUMIF('Sales Data'!$C2:$C251,"Ankit Mehta",'Sales Data'!$K2:$K251)</f>
        <v>98350</v>
      </c>
      <c r="D27" s="7">
        <f>_xlfn.MAXIFS('Sales Data'!$B2:$B251,'Sales Data'!$C2:$C251,A27)</f>
        <v>46188.468055555553</v>
      </c>
      <c r="E27" s="8">
        <f>INT(MAX('Sales Data'!$B2:$B251)-D27)</f>
        <v>106</v>
      </c>
      <c r="F27" s="5" t="str">
        <f t="shared" si="0"/>
        <v>At Risk</v>
      </c>
    </row>
    <row r="28" spans="1:6" x14ac:dyDescent="0.3">
      <c r="A28" t="s">
        <v>74</v>
      </c>
      <c r="B28" s="5">
        <f>COUNTIF('Sales Data'!$C2:$C251,"Manav Patel")</f>
        <v>5</v>
      </c>
      <c r="C28" s="5">
        <f>SUMIF('Sales Data'!$C2:$C251,"Manav Patel",'Sales Data'!$K2:$K251)</f>
        <v>212800</v>
      </c>
      <c r="D28" s="7">
        <f>_xlfn.MAXIFS('Sales Data'!$B2:$B251,'Sales Data'!$C2:$C251,A28)</f>
        <v>46247.802777777775</v>
      </c>
      <c r="E28" s="8">
        <f>INT(MAX('Sales Data'!$B2:$B251)-D28)</f>
        <v>46</v>
      </c>
      <c r="F28" s="5" t="str">
        <f t="shared" si="0"/>
        <v>Loyal Customer</v>
      </c>
    </row>
    <row r="29" spans="1:6" x14ac:dyDescent="0.3">
      <c r="A29" t="s">
        <v>76</v>
      </c>
      <c r="B29" s="5">
        <f>COUNTIF('Sales Data'!$C2:$C251,"Riya Mehta")</f>
        <v>2</v>
      </c>
      <c r="C29" s="5">
        <f>SUMIF('Sales Data'!$C2:$C251,"Riya Mehta",'Sales Data'!$K2:$K251)</f>
        <v>98525</v>
      </c>
      <c r="D29" s="7">
        <f>_xlfn.MAXIFS('Sales Data'!$B2:$B251,'Sales Data'!$C2:$C251,A29)</f>
        <v>46265.615972222222</v>
      </c>
      <c r="E29" s="8">
        <f>INT(MAX('Sales Data'!$B2:$B251)-D29)</f>
        <v>29</v>
      </c>
      <c r="F29" s="5" t="str">
        <f t="shared" si="0"/>
        <v>Potential Customer</v>
      </c>
    </row>
    <row r="30" spans="1:6" x14ac:dyDescent="0.3">
      <c r="A30" t="s">
        <v>79</v>
      </c>
      <c r="B30" s="5">
        <f>COUNTIF('Sales Data'!$C2:$C251,"Isha Joshi")</f>
        <v>2</v>
      </c>
      <c r="C30" s="5">
        <f>SUMIF('Sales Data'!$C2:$C251,"Isha Joshi",'Sales Data'!$K2:$K251)</f>
        <v>39950</v>
      </c>
      <c r="D30" s="7">
        <f>_xlfn.MAXIFS('Sales Data'!$B2:$B251,'Sales Data'!$C2:$C251,A30)</f>
        <v>46105.779166666667</v>
      </c>
      <c r="E30" s="8">
        <f>INT(MAX('Sales Data'!$B2:$B251)-D30)</f>
        <v>188</v>
      </c>
      <c r="F30" s="5" t="str">
        <f t="shared" si="0"/>
        <v>At Risk</v>
      </c>
    </row>
    <row r="31" spans="1:6" x14ac:dyDescent="0.3">
      <c r="A31" t="s">
        <v>81</v>
      </c>
      <c r="B31" s="5">
        <f>COUNTIF('Sales Data'!$C2:$C251,"Nikhil Joshi")</f>
        <v>5</v>
      </c>
      <c r="C31" s="5">
        <f>SUMIF('Sales Data'!$C2:$C251,"Nikhil Joshi",'Sales Data'!$K2:$K251)</f>
        <v>200070</v>
      </c>
      <c r="D31" s="7">
        <f>_xlfn.MAXIFS('Sales Data'!$B2:$B251,'Sales Data'!$C2:$C251,A31)</f>
        <v>46248.695833333331</v>
      </c>
      <c r="E31" s="8">
        <f>INT(MAX('Sales Data'!$B2:$B251)-D31)</f>
        <v>46</v>
      </c>
      <c r="F31" s="5" t="str">
        <f t="shared" si="0"/>
        <v>Loyal Customer</v>
      </c>
    </row>
    <row r="32" spans="1:6" x14ac:dyDescent="0.3">
      <c r="A32" t="s">
        <v>84</v>
      </c>
      <c r="B32" s="5">
        <f>COUNTIF('Sales Data'!$C2:$C251,"Khushi Mehta")</f>
        <v>1</v>
      </c>
      <c r="C32" s="5">
        <f>SUMIF('Sales Data'!$C2:$C251,"Khushi Mehta",'Sales Data'!$K2:$K251)</f>
        <v>44000</v>
      </c>
      <c r="D32" s="7">
        <f>_xlfn.MAXIFS('Sales Data'!$B2:$B251,'Sales Data'!$C2:$C251,A32)</f>
        <v>46070.659722222219</v>
      </c>
      <c r="E32" s="8">
        <f>INT(MAX('Sales Data'!$B2:$B251)-D32)</f>
        <v>224</v>
      </c>
      <c r="F32" s="5" t="str">
        <f t="shared" si="0"/>
        <v>At Risk</v>
      </c>
    </row>
    <row r="33" spans="1:6" x14ac:dyDescent="0.3">
      <c r="A33" t="s">
        <v>86</v>
      </c>
      <c r="B33" s="5">
        <f>COUNTIF('Sales Data'!$C2:$C251,"Nandini Shah")</f>
        <v>4</v>
      </c>
      <c r="C33" s="5">
        <f>SUMIF('Sales Data'!$C2:$C251,"Nandini Shah",'Sales Data'!$K2:$K251)</f>
        <v>67050</v>
      </c>
      <c r="D33" s="7">
        <f>_xlfn.MAXIFS('Sales Data'!$B2:$B251,'Sales Data'!$C2:$C251,A33)</f>
        <v>46269.821527777778</v>
      </c>
      <c r="E33" s="8">
        <f>INT(MAX('Sales Data'!$B2:$B251)-D33)</f>
        <v>24</v>
      </c>
      <c r="F33" s="5" t="str">
        <f t="shared" si="0"/>
        <v>Potential Customer</v>
      </c>
    </row>
    <row r="34" spans="1:6" x14ac:dyDescent="0.3">
      <c r="A34" t="s">
        <v>89</v>
      </c>
      <c r="B34" s="5">
        <f>COUNTIF('Sales Data'!$C2:$C251,"Darsh Shah")</f>
        <v>3</v>
      </c>
      <c r="C34" s="5">
        <f>SUMIF('Sales Data'!$C2:$C251,"Darsh Shah",'Sales Data'!$K2:$K251)</f>
        <v>67960</v>
      </c>
      <c r="D34" s="7">
        <f>_xlfn.MAXIFS('Sales Data'!$B2:$B251,'Sales Data'!$C2:$C251,A34)</f>
        <v>46194.445833333331</v>
      </c>
      <c r="E34" s="8">
        <f>INT(MAX('Sales Data'!$B2:$B251)-D34)</f>
        <v>100</v>
      </c>
      <c r="F34" s="5" t="str">
        <f t="shared" si="0"/>
        <v>At Risk</v>
      </c>
    </row>
    <row r="35" spans="1:6" x14ac:dyDescent="0.3">
      <c r="A35" t="s">
        <v>91</v>
      </c>
      <c r="B35" s="5">
        <f>COUNTIF('Sales Data'!$C2:$C251,"Nisha Joshi")</f>
        <v>7</v>
      </c>
      <c r="C35" s="5">
        <f>SUMIF('Sales Data'!$C2:$C251,"Nisha Joshi",'Sales Data'!$K2:$K251)</f>
        <v>306500</v>
      </c>
      <c r="D35" s="7">
        <f>_xlfn.MAXIFS('Sales Data'!$B2:$B251,'Sales Data'!$C2:$C251,A35)</f>
        <v>46242.727083333331</v>
      </c>
      <c r="E35" s="8">
        <f>INT(MAX('Sales Data'!$B2:$B251)-D35)</f>
        <v>51</v>
      </c>
      <c r="F35" s="5" t="str">
        <f t="shared" si="0"/>
        <v>Loyal Customer</v>
      </c>
    </row>
    <row r="36" spans="1:6" x14ac:dyDescent="0.3">
      <c r="A36" t="s">
        <v>93</v>
      </c>
      <c r="B36" s="5">
        <f>COUNTIF('Sales Data'!$C2:$C251,"Abhishek Mehta")</f>
        <v>2</v>
      </c>
      <c r="C36" s="5">
        <f>SUMIF('Sales Data'!$C2:$C251,"Abhishek Mehta",'Sales Data'!$K2:$K251)</f>
        <v>26300</v>
      </c>
      <c r="D36" s="7">
        <f>_xlfn.MAXIFS('Sales Data'!$B2:$B251,'Sales Data'!$C2:$C251,A36)</f>
        <v>46136.396527777775</v>
      </c>
      <c r="E36" s="8">
        <f>INT(MAX('Sales Data'!$B2:$B251)-D36)</f>
        <v>158</v>
      </c>
      <c r="F36" s="5" t="str">
        <f t="shared" ref="F36:F67" si="2">IF(AND(B36&gt;=5,C36&gt;=200000,E36&lt;=30),"VIP Customer",IF(AND(B36&gt;=3,C36&gt;=100000,E36&lt;=60),"Loyal Customer",IF(AND(B36&gt;=2,C36&gt;=50000,E36&lt;=90),"Potential Customer",IF(E36&gt;90,"At Risk","Low Value"))))</f>
        <v>At Risk</v>
      </c>
    </row>
    <row r="37" spans="1:6" x14ac:dyDescent="0.3">
      <c r="A37" t="s">
        <v>95</v>
      </c>
      <c r="B37" s="5">
        <f>COUNTIF('Sales Data'!$C2:$C251,"Akash Patel")</f>
        <v>3</v>
      </c>
      <c r="C37" s="5">
        <f>SUMIF('Sales Data'!$C2:$C251,"Akash Patel",'Sales Data'!$K2:$K251)</f>
        <v>24015</v>
      </c>
      <c r="D37" s="7">
        <f>_xlfn.MAXIFS('Sales Data'!$B2:$B251,'Sales Data'!$C2:$C251,A37)</f>
        <v>46215.790972222225</v>
      </c>
      <c r="E37" s="8">
        <f>INT(MAX('Sales Data'!$B2:$B251)-D37)</f>
        <v>78</v>
      </c>
      <c r="F37" s="5" t="str">
        <f t="shared" si="2"/>
        <v>Low Value</v>
      </c>
    </row>
    <row r="38" spans="1:6" x14ac:dyDescent="0.3">
      <c r="A38" t="s">
        <v>99</v>
      </c>
      <c r="B38" s="5">
        <f>COUNTIF('Sales Data'!$C2:$C251,"Meet Desai")</f>
        <v>4</v>
      </c>
      <c r="C38" s="5">
        <f>SUMIF('Sales Data'!$C2:$C251,"Meet Desai",'Sales Data'!$K2:$K251)</f>
        <v>122700</v>
      </c>
      <c r="D38" s="7">
        <f>_xlfn.MAXIFS('Sales Data'!$B2:$B251,'Sales Data'!$C2:$C251,A38)</f>
        <v>46269.741666666669</v>
      </c>
      <c r="E38" s="8">
        <f>INT(MAX('Sales Data'!$B2:$B251)-D38)</f>
        <v>24</v>
      </c>
      <c r="F38" s="5" t="str">
        <f t="shared" si="2"/>
        <v>Loyal Customer</v>
      </c>
    </row>
    <row r="39" spans="1:6" x14ac:dyDescent="0.3">
      <c r="A39" t="s">
        <v>103</v>
      </c>
      <c r="B39" s="5">
        <f>COUNTIF('Sales Data'!$C2:$C251,"Karan Desai")</f>
        <v>5</v>
      </c>
      <c r="C39" s="5">
        <f>SUMIF('Sales Data'!$C2:$C251,"Karan Desai",'Sales Data'!$K2:$K251)</f>
        <v>484400</v>
      </c>
      <c r="D39" s="7">
        <f>_xlfn.MAXIFS('Sales Data'!$B2:$B251,'Sales Data'!$C2:$C251,A39)</f>
        <v>46257.713888888888</v>
      </c>
      <c r="E39" s="8">
        <f>INT(MAX('Sales Data'!$B2:$B251)-D39)</f>
        <v>37</v>
      </c>
      <c r="F39" s="5" t="str">
        <f t="shared" si="2"/>
        <v>Loyal Customer</v>
      </c>
    </row>
    <row r="40" spans="1:6" x14ac:dyDescent="0.3">
      <c r="A40" t="s">
        <v>105</v>
      </c>
      <c r="B40" s="5">
        <f>COUNTIF('Sales Data'!$C2:$C251,"Jatin Desai")</f>
        <v>4</v>
      </c>
      <c r="C40" s="5">
        <f>SUMIF('Sales Data'!$C2:$C251,"Jatin Desai",'Sales Data'!$K2:$K251)</f>
        <v>36230</v>
      </c>
      <c r="D40" s="7">
        <f>_xlfn.MAXIFS('Sales Data'!$B2:$B251,'Sales Data'!$C2:$C251,A40)</f>
        <v>46236.854166666664</v>
      </c>
      <c r="E40" s="8">
        <f>INT(MAX('Sales Data'!$B2:$B251)-D40)</f>
        <v>57</v>
      </c>
      <c r="F40" s="5" t="str">
        <f t="shared" si="2"/>
        <v>Low Value</v>
      </c>
    </row>
    <row r="41" spans="1:6" x14ac:dyDescent="0.3">
      <c r="A41" t="s">
        <v>109</v>
      </c>
      <c r="B41" s="5">
        <f>COUNTIF('Sales Data'!$C2:$C251,"Darshil Desai")</f>
        <v>5</v>
      </c>
      <c r="C41" s="5">
        <f>SUMIF('Sales Data'!$C2:$C251,"Darshil Desai",'Sales Data'!$K2:$K251)</f>
        <v>67520</v>
      </c>
      <c r="D41" s="7">
        <f>_xlfn.MAXIFS('Sales Data'!$B2:$B251,'Sales Data'!$C2:$C251,A41)</f>
        <v>46282.59375</v>
      </c>
      <c r="E41" s="8">
        <f>INT(MAX('Sales Data'!$B2:$B251)-D41)</f>
        <v>12</v>
      </c>
      <c r="F41" s="5" t="str">
        <f t="shared" si="2"/>
        <v>Potential Customer</v>
      </c>
    </row>
    <row r="42" spans="1:6" x14ac:dyDescent="0.3">
      <c r="A42" t="s">
        <v>111</v>
      </c>
      <c r="B42" s="5">
        <f>COUNTIF('Sales Data'!$C2:$C251,"Meera Shah")</f>
        <v>5</v>
      </c>
      <c r="C42" s="5">
        <f>SUMIF('Sales Data'!$C2:$C251,"Meera Shah",'Sales Data'!$K2:$K251)</f>
        <v>149600</v>
      </c>
      <c r="D42" s="7">
        <f>_xlfn.MAXIFS('Sales Data'!$B2:$B251,'Sales Data'!$C2:$C251,A42)</f>
        <v>46157.647222222222</v>
      </c>
      <c r="E42" s="8">
        <f>INT(MAX('Sales Data'!$B2:$B251)-D42)</f>
        <v>137</v>
      </c>
      <c r="F42" s="5" t="str">
        <f t="shared" si="2"/>
        <v>At Risk</v>
      </c>
    </row>
    <row r="43" spans="1:6" x14ac:dyDescent="0.3">
      <c r="A43" t="s">
        <v>115</v>
      </c>
      <c r="B43" s="5">
        <f>COUNTIF('Sales Data'!$C2:$C251,"Rahul Mehta")</f>
        <v>2</v>
      </c>
      <c r="C43" s="5">
        <f>SUMIF('Sales Data'!$C2:$C251,"Rahul Mehta",'Sales Data'!$K2:$K251)</f>
        <v>263050</v>
      </c>
      <c r="D43" s="7">
        <f>_xlfn.MAXIFS('Sales Data'!$B2:$B251,'Sales Data'!$C2:$C251,A43)</f>
        <v>46205.599999999999</v>
      </c>
      <c r="E43" s="8">
        <f>INT(MAX('Sales Data'!$B2:$B251)-D43)</f>
        <v>89</v>
      </c>
      <c r="F43" s="5" t="str">
        <f t="shared" si="2"/>
        <v>Potential Customer</v>
      </c>
    </row>
    <row r="44" spans="1:6" x14ac:dyDescent="0.3">
      <c r="A44" t="s">
        <v>118</v>
      </c>
      <c r="B44" s="5">
        <f>COUNTIF('Sales Data'!$C2:$C251,"Komal Shah")</f>
        <v>5</v>
      </c>
      <c r="C44" s="5">
        <f>SUMIF('Sales Data'!$C2:$C251,"Komal Shah",'Sales Data'!$K2:$K251)</f>
        <v>53670</v>
      </c>
      <c r="D44" s="7">
        <f>_xlfn.MAXIFS('Sales Data'!$B2:$B251,'Sales Data'!$C2:$C251,A44)</f>
        <v>46234.756944444445</v>
      </c>
      <c r="E44" s="8">
        <f>INT(MAX('Sales Data'!$B2:$B251)-D44)</f>
        <v>59</v>
      </c>
      <c r="F44" s="5" t="str">
        <f t="shared" si="2"/>
        <v>Potential Customer</v>
      </c>
    </row>
    <row r="45" spans="1:6" x14ac:dyDescent="0.3">
      <c r="A45" t="s">
        <v>121</v>
      </c>
      <c r="B45" s="5">
        <f>COUNTIF('Sales Data'!$C2:$C251,"Maulik Patel")</f>
        <v>4</v>
      </c>
      <c r="C45" s="5">
        <f>SUMIF('Sales Data'!$C2:$C251,"Maulik Patel",'Sales Data'!$K2:$K251)</f>
        <v>328750</v>
      </c>
      <c r="D45" s="7">
        <f>_xlfn.MAXIFS('Sales Data'!$B2:$B251,'Sales Data'!$C2:$C251,A45)</f>
        <v>46256.576388888891</v>
      </c>
      <c r="E45" s="8">
        <f>INT(MAX('Sales Data'!$B2:$B251)-D45)</f>
        <v>38</v>
      </c>
      <c r="F45" s="5" t="str">
        <f t="shared" si="2"/>
        <v>Loyal Customer</v>
      </c>
    </row>
    <row r="46" spans="1:6" x14ac:dyDescent="0.3">
      <c r="A46" t="s">
        <v>127</v>
      </c>
      <c r="B46" s="5">
        <f>COUNTIF('Sales Data'!$C2:$C251,"Palak Joshi")</f>
        <v>2</v>
      </c>
      <c r="C46" s="5">
        <f>SUMIF('Sales Data'!$C2:$C251,"Palak Joshi",'Sales Data'!$K2:$K251)</f>
        <v>11400</v>
      </c>
      <c r="D46" s="7">
        <f>_xlfn.MAXIFS('Sales Data'!$B2:$B251,'Sales Data'!$C2:$C251,A46)</f>
        <v>46210.738888888889</v>
      </c>
      <c r="E46" s="8">
        <f>INT(MAX('Sales Data'!$B2:$B251)-D46)</f>
        <v>83</v>
      </c>
      <c r="F46" s="5" t="str">
        <f t="shared" si="2"/>
        <v>Low Value</v>
      </c>
    </row>
    <row r="47" spans="1:6" x14ac:dyDescent="0.3">
      <c r="A47" t="s">
        <v>130</v>
      </c>
      <c r="B47" s="5">
        <f>COUNTIF('Sales Data'!$C2:$C251,"Heena Joshi")</f>
        <v>4</v>
      </c>
      <c r="C47" s="5">
        <f>SUMIF('Sales Data'!$C2:$C251,"Heena Joshi",'Sales Data'!$K2:$K251)</f>
        <v>26580</v>
      </c>
      <c r="D47" s="7">
        <f>_xlfn.MAXIFS('Sales Data'!$B2:$B251,'Sales Data'!$C2:$C251,A47)</f>
        <v>46231.484027777777</v>
      </c>
      <c r="E47" s="8">
        <f>INT(MAX('Sales Data'!$B2:$B251)-D47)</f>
        <v>63</v>
      </c>
      <c r="F47" s="5" t="str">
        <f t="shared" si="2"/>
        <v>Low Value</v>
      </c>
    </row>
    <row r="48" spans="1:6" x14ac:dyDescent="0.3">
      <c r="A48" t="s">
        <v>136</v>
      </c>
      <c r="B48" s="5">
        <f>COUNTIF('Sales Data'!$C2:$C251,"Bhavin Desai")</f>
        <v>3</v>
      </c>
      <c r="C48" s="5">
        <f>SUMIF('Sales Data'!$C2:$C251,"Bhavin Desai",'Sales Data'!$K2:$K251)</f>
        <v>498750</v>
      </c>
      <c r="D48" s="7">
        <f>_xlfn.MAXIFS('Sales Data'!$B2:$B251,'Sales Data'!$C2:$C251,A48)</f>
        <v>46178.529166666667</v>
      </c>
      <c r="E48" s="8">
        <f>INT(MAX('Sales Data'!$B2:$B251)-D48)</f>
        <v>116</v>
      </c>
      <c r="F48" s="5" t="str">
        <f t="shared" si="2"/>
        <v>At Risk</v>
      </c>
    </row>
    <row r="49" spans="1:6" x14ac:dyDescent="0.3">
      <c r="A49" t="s">
        <v>138</v>
      </c>
      <c r="B49" s="5">
        <f>COUNTIF('Sales Data'!$C2:$C251,"Krupa Shah")</f>
        <v>2</v>
      </c>
      <c r="C49" s="5">
        <f>SUMIF('Sales Data'!$C2:$C251,"Krupa Shah",'Sales Data'!$K2:$K251)</f>
        <v>330000</v>
      </c>
      <c r="D49" s="7">
        <f>_xlfn.MAXIFS('Sales Data'!$B2:$B251,'Sales Data'!$C2:$C251,A49)</f>
        <v>46282.835416666669</v>
      </c>
      <c r="E49" s="8">
        <f>INT(MAX('Sales Data'!$B2:$B251)-D49)</f>
        <v>11</v>
      </c>
      <c r="F49" s="5" t="str">
        <f t="shared" si="2"/>
        <v>Potential Customer</v>
      </c>
    </row>
    <row r="50" spans="1:6" x14ac:dyDescent="0.3">
      <c r="A50" t="s">
        <v>140</v>
      </c>
      <c r="B50" s="5">
        <f>COUNTIF('Sales Data'!$C2:$C251,"Ronak Patel")</f>
        <v>1</v>
      </c>
      <c r="C50" s="5">
        <f>SUMIF('Sales Data'!$C2:$C251,"Ronak Patel",'Sales Data'!$K2:$K251)</f>
        <v>2975</v>
      </c>
      <c r="D50" s="7">
        <f>_xlfn.MAXIFS('Sales Data'!$B2:$B251,'Sales Data'!$C2:$C251,A50)</f>
        <v>46105.76458333333</v>
      </c>
      <c r="E50" s="8">
        <f>INT(MAX('Sales Data'!$B2:$B251)-D50)</f>
        <v>188</v>
      </c>
      <c r="F50" s="5" t="str">
        <f t="shared" si="2"/>
        <v>At Risk</v>
      </c>
    </row>
    <row r="51" spans="1:6" x14ac:dyDescent="0.3">
      <c r="A51" t="s">
        <v>143</v>
      </c>
      <c r="B51" s="5">
        <f>COUNTIF('Sales Data'!$C2:$C251,"Aarav Patel")</f>
        <v>7</v>
      </c>
      <c r="C51" s="5">
        <f>SUMIF('Sales Data'!$C2:$C251,"Aarav Patel",'Sales Data'!$K2:$K251)</f>
        <v>324785</v>
      </c>
      <c r="D51" s="7">
        <f>_xlfn.MAXIFS('Sales Data'!$B2:$B251,'Sales Data'!$C2:$C251,A51)</f>
        <v>46266.459027777775</v>
      </c>
      <c r="E51" s="8">
        <f>INT(MAX('Sales Data'!$B2:$B251)-D51)</f>
        <v>28</v>
      </c>
      <c r="F51" s="5" t="str">
        <f t="shared" si="2"/>
        <v>VIP Customer</v>
      </c>
    </row>
    <row r="52" spans="1:6" x14ac:dyDescent="0.3">
      <c r="A52" t="s">
        <v>154</v>
      </c>
      <c r="B52" s="5">
        <f>COUNTIF('Sales Data'!$C2:$C251,"Yash Shah")</f>
        <v>5</v>
      </c>
      <c r="C52" s="5">
        <f>SUMIF('Sales Data'!$C2:$C251,"Yash Shah",'Sales Data'!$K2:$K251)</f>
        <v>196300</v>
      </c>
      <c r="D52" s="7">
        <f>_xlfn.MAXIFS('Sales Data'!$B2:$B251,'Sales Data'!$C2:$C251,A52)</f>
        <v>46269.647222222222</v>
      </c>
      <c r="E52" s="8">
        <f>INT(MAX('Sales Data'!$B2:$B251)-D52)</f>
        <v>25</v>
      </c>
      <c r="F52" s="5" t="str">
        <f t="shared" si="2"/>
        <v>Loyal Customer</v>
      </c>
    </row>
    <row r="53" spans="1:6" x14ac:dyDescent="0.3">
      <c r="A53" t="s">
        <v>158</v>
      </c>
      <c r="B53" s="5">
        <f>COUNTIF('Sales Data'!$C2:$C251,"Rupal Joshi")</f>
        <v>2</v>
      </c>
      <c r="C53" s="5">
        <f>SUMIF('Sales Data'!$C2:$C251,"Rupal Joshi",'Sales Data'!$K2:$K251)</f>
        <v>30900</v>
      </c>
      <c r="D53" s="7">
        <f>_xlfn.MAXIFS('Sales Data'!$B2:$B251,'Sales Data'!$C2:$C251,A53)</f>
        <v>46179.852083333331</v>
      </c>
      <c r="E53" s="8">
        <f>INT(MAX('Sales Data'!$B2:$B251)-D53)</f>
        <v>114</v>
      </c>
      <c r="F53" s="5" t="str">
        <f t="shared" si="2"/>
        <v>At Risk</v>
      </c>
    </row>
    <row r="54" spans="1:6" x14ac:dyDescent="0.3">
      <c r="A54" t="s">
        <v>162</v>
      </c>
      <c r="B54" s="5">
        <f>COUNTIF('Sales Data'!$C2:$C251,"Krish Joshi")</f>
        <v>5</v>
      </c>
      <c r="C54" s="5">
        <f>SUMIF('Sales Data'!$C2:$C251,"Krish Joshi",'Sales Data'!$K2:$K251)</f>
        <v>65600</v>
      </c>
      <c r="D54" s="7">
        <f>_xlfn.MAXIFS('Sales Data'!$B2:$B251,'Sales Data'!$C2:$C251,A54)</f>
        <v>46284.345138888886</v>
      </c>
      <c r="E54" s="8">
        <f>INT(MAX('Sales Data'!$B2:$B251)-D54)</f>
        <v>10</v>
      </c>
      <c r="F54" s="5" t="str">
        <f t="shared" si="2"/>
        <v>Potential Customer</v>
      </c>
    </row>
    <row r="55" spans="1:6" x14ac:dyDescent="0.3">
      <c r="A55" t="s">
        <v>165</v>
      </c>
      <c r="B55" s="5">
        <f>COUNTIF('Sales Data'!$C2:$C251,"Vatsal Desai")</f>
        <v>3</v>
      </c>
      <c r="C55" s="5">
        <f>SUMIF('Sales Data'!$C2:$C251,"Vatsal Desai",'Sales Data'!$K2:$K251)</f>
        <v>141000</v>
      </c>
      <c r="D55" s="7">
        <f>_xlfn.MAXIFS('Sales Data'!$B2:$B251,'Sales Data'!$C2:$C251,A55)</f>
        <v>46243.655555555553</v>
      </c>
      <c r="E55" s="8">
        <f>INT(MAX('Sales Data'!$B2:$B251)-D55)</f>
        <v>51</v>
      </c>
      <c r="F55" s="5" t="str">
        <f t="shared" si="2"/>
        <v>Loyal Customer</v>
      </c>
    </row>
    <row r="56" spans="1:6" x14ac:dyDescent="0.3">
      <c r="A56" t="s">
        <v>172</v>
      </c>
      <c r="B56" s="5">
        <f>COUNTIF('Sales Data'!$C2:$C251,"Sneha Shah")</f>
        <v>3</v>
      </c>
      <c r="C56" s="5">
        <f>SUMIF('Sales Data'!$C2:$C251,"Sneha Shah",'Sales Data'!$K2:$K251)</f>
        <v>175420</v>
      </c>
      <c r="D56" s="7">
        <f>_xlfn.MAXIFS('Sales Data'!$B2:$B251,'Sales Data'!$C2:$C251,A56)</f>
        <v>46283.434027777781</v>
      </c>
      <c r="E56" s="8">
        <f>INT(MAX('Sales Data'!$B2:$B251)-D56)</f>
        <v>11</v>
      </c>
      <c r="F56" s="5" t="str">
        <f t="shared" si="2"/>
        <v>Loyal Customer</v>
      </c>
    </row>
    <row r="57" spans="1:6" x14ac:dyDescent="0.3">
      <c r="A57" t="s">
        <v>174</v>
      </c>
      <c r="B57" s="5">
        <f>COUNTIF('Sales Data'!$C2:$C251,"Amit Patel")</f>
        <v>1</v>
      </c>
      <c r="C57" s="5">
        <f>SUMIF('Sales Data'!$C2:$C251,"Amit Patel",'Sales Data'!$K2:$K251)</f>
        <v>24000</v>
      </c>
      <c r="D57" s="7">
        <f>_xlfn.MAXIFS('Sales Data'!$B2:$B251,'Sales Data'!$C2:$C251,A57)</f>
        <v>46133.737500000003</v>
      </c>
      <c r="E57" s="8">
        <f>INT(MAX('Sales Data'!$B2:$B251)-D57)</f>
        <v>160</v>
      </c>
      <c r="F57" s="5" t="str">
        <f t="shared" si="2"/>
        <v>At Risk</v>
      </c>
    </row>
    <row r="58" spans="1:6" x14ac:dyDescent="0.3">
      <c r="A58" t="s">
        <v>176</v>
      </c>
      <c r="B58" s="5">
        <f>COUNTIF('Sales Data'!$C2:$C251,"Mitali Shah")</f>
        <v>5</v>
      </c>
      <c r="C58" s="5">
        <f>SUMIF('Sales Data'!$C2:$C251,"Mitali Shah",'Sales Data'!$K2:$K251)</f>
        <v>326150</v>
      </c>
      <c r="D58" s="7">
        <f>_xlfn.MAXIFS('Sales Data'!$B2:$B251,'Sales Data'!$C2:$C251,A58)</f>
        <v>46294.715277777781</v>
      </c>
      <c r="E58" s="8">
        <f>INT(MAX('Sales Data'!$B2:$B251)-D58)</f>
        <v>0</v>
      </c>
      <c r="F58" s="5" t="str">
        <f t="shared" si="2"/>
        <v>VIP Customer</v>
      </c>
    </row>
    <row r="59" spans="1:6" x14ac:dyDescent="0.3">
      <c r="A59" t="s">
        <v>181</v>
      </c>
      <c r="B59" s="5">
        <f>COUNTIF('Sales Data'!$C2:$C251,"Varun Patel")</f>
        <v>4</v>
      </c>
      <c r="C59" s="5">
        <f>SUMIF('Sales Data'!$C2:$C251,"Varun Patel",'Sales Data'!$K2:$K251)</f>
        <v>130000</v>
      </c>
      <c r="D59" s="7">
        <f>_xlfn.MAXIFS('Sales Data'!$B2:$B251,'Sales Data'!$C2:$C251,A59)</f>
        <v>46292.4</v>
      </c>
      <c r="E59" s="8">
        <f>INT(MAX('Sales Data'!$B2:$B251)-D59)</f>
        <v>2</v>
      </c>
      <c r="F59" s="5" t="str">
        <f t="shared" si="2"/>
        <v>Loyal Customer</v>
      </c>
    </row>
    <row r="60" spans="1:6" x14ac:dyDescent="0.3">
      <c r="A60" t="s">
        <v>190</v>
      </c>
      <c r="B60" s="5">
        <f>COUNTIF('Sales Data'!$C2:$C251,"Vraj Desai")</f>
        <v>1</v>
      </c>
      <c r="C60" s="5">
        <f>SUMIF('Sales Data'!$C2:$C251,"Vraj Desai",'Sales Data'!$K2:$K251)</f>
        <v>5400</v>
      </c>
      <c r="D60" s="7">
        <f>_xlfn.MAXIFS('Sales Data'!$B2:$B251,'Sales Data'!$C2:$C251,A60)</f>
        <v>46144.461111111108</v>
      </c>
      <c r="E60" s="8">
        <f>INT(MAX('Sales Data'!$B2:$B251)-D60)</f>
        <v>150</v>
      </c>
      <c r="F60" s="5" t="str">
        <f t="shared" si="2"/>
        <v>At Risk</v>
      </c>
    </row>
    <row r="61" spans="1:6" x14ac:dyDescent="0.3">
      <c r="A61" t="s">
        <v>197</v>
      </c>
      <c r="B61" s="5">
        <f>COUNTIF('Sales Data'!$C2:$C251,"Parth Joshi")</f>
        <v>4</v>
      </c>
      <c r="C61" s="5">
        <f>SUMIF('Sales Data'!$C2:$C251,"Parth Joshi",'Sales Data'!$K2:$K251)</f>
        <v>103850</v>
      </c>
      <c r="D61" s="7">
        <f>_xlfn.MAXIFS('Sales Data'!$B2:$B251,'Sales Data'!$C2:$C251,A61)</f>
        <v>46201.684027777781</v>
      </c>
      <c r="E61" s="8">
        <f>INT(MAX('Sales Data'!$B2:$B251)-D61)</f>
        <v>93</v>
      </c>
      <c r="F61" s="5" t="str">
        <f t="shared" si="2"/>
        <v>At Risk</v>
      </c>
    </row>
    <row r="62" spans="1:6" x14ac:dyDescent="0.3">
      <c r="A62" t="s">
        <v>199</v>
      </c>
      <c r="B62" s="5">
        <f>COUNTIF('Sales Data'!$C2:$C251,"Diya Patel")</f>
        <v>4</v>
      </c>
      <c r="C62" s="5">
        <f>SUMIF('Sales Data'!$C2:$C251,"Diya Patel",'Sales Data'!$K2:$K251)</f>
        <v>203910</v>
      </c>
      <c r="D62" s="7">
        <f>_xlfn.MAXIFS('Sales Data'!$B2:$B251,'Sales Data'!$C2:$C251,A62)</f>
        <v>46255.856944444444</v>
      </c>
      <c r="E62" s="8">
        <f>INT(MAX('Sales Data'!$B2:$B251)-D62)</f>
        <v>38</v>
      </c>
      <c r="F62" s="5" t="str">
        <f t="shared" si="2"/>
        <v>Loyal Customer</v>
      </c>
    </row>
    <row r="63" spans="1:6" x14ac:dyDescent="0.3">
      <c r="A63" t="s">
        <v>202</v>
      </c>
      <c r="B63" s="5">
        <f>COUNTIF('Sales Data'!$C11:$C260,"Shreya Joshi")</f>
        <v>3</v>
      </c>
      <c r="C63" s="5">
        <f>SUMIF('Sales Data'!$C2:$C251,"Shreya Joshi",'Sales Data'!$K2:$K251)</f>
        <v>74530</v>
      </c>
      <c r="D63" s="7">
        <f>_xlfn.MAXIFS('Sales Data'!$B2:$B251,'Sales Data'!$C2:$C251,A63)</f>
        <v>46264.354166666664</v>
      </c>
      <c r="E63" s="8">
        <f>INT(MAX('Sales Data'!$B2:$B251)-D63)</f>
        <v>30</v>
      </c>
      <c r="F63" s="5" t="str">
        <f t="shared" si="2"/>
        <v>Potential Customer</v>
      </c>
    </row>
    <row r="64" spans="1:6" x14ac:dyDescent="0.3">
      <c r="A64" t="s">
        <v>208</v>
      </c>
      <c r="B64" s="5">
        <f>COUNTIF('Sales Data'!$C11:$C260,"Mihir Patel")</f>
        <v>3</v>
      </c>
      <c r="C64" s="5">
        <f>SUMIF('Sales Data'!$C2:$C251,"Mihir Patel",'Sales Data'!$K2:$K251)</f>
        <v>16800</v>
      </c>
      <c r="D64" s="7">
        <f>_xlfn.MAXIFS('Sales Data'!$B2:$B251,'Sales Data'!$C2:$C251,A64)</f>
        <v>46244.45416666667</v>
      </c>
      <c r="E64" s="8">
        <f>INT(MAX('Sales Data'!$B2:$B251)-D64)</f>
        <v>50</v>
      </c>
      <c r="F64" s="5" t="str">
        <f t="shared" si="2"/>
        <v>Low Value</v>
      </c>
    </row>
    <row r="65" spans="1:6" x14ac:dyDescent="0.3">
      <c r="A65" t="s">
        <v>217</v>
      </c>
      <c r="B65" s="5">
        <f>COUNTIF('Sales Data'!$C11:$C260,"Hetal Shah")</f>
        <v>1</v>
      </c>
      <c r="C65" s="5">
        <f>SUMIF('Sales Data'!$C2:$C251,"Hetal Shah",'Sales Data'!$K2:$K251)</f>
        <v>9900</v>
      </c>
      <c r="D65" s="7">
        <f>_xlfn.MAXIFS('Sales Data'!$B2:$B251,'Sales Data'!$C2:$C251,A65)</f>
        <v>46169.784722222219</v>
      </c>
      <c r="E65" s="8">
        <f>INT(MAX('Sales Data'!$B2:$B251)-D65)</f>
        <v>124</v>
      </c>
      <c r="F65" s="5" t="str">
        <f t="shared" si="2"/>
        <v>At Risk</v>
      </c>
    </row>
    <row r="66" spans="1:6" x14ac:dyDescent="0.3">
      <c r="A66" t="s">
        <v>219</v>
      </c>
      <c r="B66" s="5">
        <f>COUNTIF('Sales Data'!$C11:$C260,"Priya Joshi")</f>
        <v>5</v>
      </c>
      <c r="C66" s="5">
        <f>SUMIF('Sales Data'!$C2:$C251,"Priya Joshi",'Sales Data'!$K2:$K251)</f>
        <v>448200</v>
      </c>
      <c r="D66" s="7">
        <f>_xlfn.MAXIFS('Sales Data'!$B2:$B251,'Sales Data'!$C2:$C251,A66)</f>
        <v>46240.817361111112</v>
      </c>
      <c r="E66" s="8">
        <f>INT(MAX('Sales Data'!$B2:$B251)-D66)</f>
        <v>53</v>
      </c>
      <c r="F66" s="5" t="str">
        <f t="shared" si="2"/>
        <v>Loyal Customer</v>
      </c>
    </row>
    <row r="67" spans="1:6" x14ac:dyDescent="0.3">
      <c r="A67" t="s">
        <v>221</v>
      </c>
      <c r="B67" s="5">
        <f>COUNTIF('Sales Data'!$C11:$C260,"Jaydeep Mehta")</f>
        <v>1</v>
      </c>
      <c r="C67" s="5">
        <f>SUMIF('Sales Data'!$C2:$C251,"Jaydeep Mehta",'Sales Data'!$K2:$K251)</f>
        <v>12000</v>
      </c>
      <c r="D67" s="7">
        <f>_xlfn.MAXIFS('Sales Data'!$B2:$B251,'Sales Data'!$C2:$C251,A67)</f>
        <v>46170.835416666669</v>
      </c>
      <c r="E67" s="8">
        <f>INT(MAX('Sales Data'!$B2:$B251)-D67)</f>
        <v>123</v>
      </c>
      <c r="F67" s="5" t="str">
        <f t="shared" si="2"/>
        <v>At Risk</v>
      </c>
    </row>
    <row r="68" spans="1:6" x14ac:dyDescent="0.3">
      <c r="A68" t="s">
        <v>251</v>
      </c>
      <c r="B68" s="5">
        <f>COUNTIF('Sales Data'!$C11:$C260,"Het Desai")</f>
        <v>1</v>
      </c>
      <c r="C68" s="5">
        <f>SUMIF('Sales Data'!$C2:$C251,"Het Desai",'Sales Data'!$K2:$K251)</f>
        <v>25500</v>
      </c>
      <c r="D68" s="7">
        <f>_xlfn.MAXIFS('Sales Data'!$B2:$B251,'Sales Data'!$C2:$C251,A68)</f>
        <v>46193.767361111109</v>
      </c>
      <c r="E68" s="8">
        <f>INT(MAX('Sales Data'!$B2:$B251)-D68)</f>
        <v>100</v>
      </c>
      <c r="F68" s="5" t="str">
        <f t="shared" ref="F68:F99" si="3">IF(AND(B68&gt;=5,C68&gt;=200000,E68&lt;=30),"VIP Customer",IF(AND(B68&gt;=3,C68&gt;=100000,E68&lt;=60),"Loyal Customer",IF(AND(B68&gt;=2,C68&gt;=50000,E68&lt;=90),"Potential Customer",IF(E68&gt;90,"At Risk","Low Value"))))</f>
        <v>At Risk</v>
      </c>
    </row>
    <row r="69" spans="1:6" x14ac:dyDescent="0.3">
      <c r="A69" t="s">
        <v>260</v>
      </c>
      <c r="B69" s="5">
        <f>COUNTIF('Sales Data'!$C11:$C260,"Simran Joshi")</f>
        <v>1</v>
      </c>
      <c r="C69" s="5">
        <f>SUMIF('Sales Data'!$C2:$C251,"Simran Joshi",'Sales Data'!$K2:$K251)</f>
        <v>34000</v>
      </c>
      <c r="D69" s="7">
        <f>_xlfn.MAXIFS('Sales Data'!$B2:$B251,'Sales Data'!$C2:$C251,A69)</f>
        <v>46200.582638888889</v>
      </c>
      <c r="E69" s="8">
        <f>INT(MAX('Sales Data'!$B2:$B251)-D69)</f>
        <v>94</v>
      </c>
      <c r="F69" s="5" t="str">
        <f t="shared" si="3"/>
        <v>At Risk</v>
      </c>
    </row>
    <row r="70" spans="1:6" x14ac:dyDescent="0.3">
      <c r="A70" t="s">
        <v>271</v>
      </c>
      <c r="B70" s="5">
        <f>COUNTIF('Sales Data'!$C11:$C260,"Sahil Mehta")</f>
        <v>1</v>
      </c>
      <c r="C70" s="5">
        <f>SUMIF('Sales Data'!$C2:$C251,"Sahil Mehta",'Sales Data'!$K2:$K251)</f>
        <v>4800</v>
      </c>
      <c r="D70" s="7">
        <f>_xlfn.MAXIFS('Sales Data'!$B2:$B251,'Sales Data'!$C2:$C251,A70)</f>
        <v>46206.808333333334</v>
      </c>
      <c r="E70" s="8">
        <f>INT(MAX('Sales Data'!$B2:$B251)-D70)</f>
        <v>87</v>
      </c>
      <c r="F70" s="5" t="str">
        <f t="shared" si="3"/>
        <v>Low Value</v>
      </c>
    </row>
    <row r="71" spans="1:6" x14ac:dyDescent="0.3">
      <c r="A71" t="s">
        <v>284</v>
      </c>
      <c r="B71" s="5">
        <f>COUNTIF('Sales Data'!$C11:$C260,"Diya Patel")</f>
        <v>4</v>
      </c>
      <c r="C71" s="5">
        <f>SUMIF('Sales Data'!$C2:$C251,"Aarohi Desai",'Sales Data'!$K2:$K251)</f>
        <v>52250</v>
      </c>
      <c r="D71" s="7">
        <f>_xlfn.MAXIFS('Sales Data'!$B2:$B251,'Sales Data'!$C2:$C251,A71)</f>
        <v>46215.495138888888</v>
      </c>
      <c r="E71" s="8">
        <f>INT(MAX('Sales Data'!$B2:$B251)-D71)</f>
        <v>79</v>
      </c>
      <c r="F71" s="5" t="str">
        <f t="shared" si="3"/>
        <v>Potential Customer</v>
      </c>
    </row>
    <row r="72" spans="1:6" x14ac:dyDescent="0.3">
      <c r="A72" t="s">
        <v>288</v>
      </c>
      <c r="B72" s="5">
        <f>COUNTIF('Sales Data'!$C20:$C269,"Manish Mehta")</f>
        <v>3</v>
      </c>
      <c r="C72" s="5">
        <f>SUMIF('Sales Data'!$C2:$C251,"Manish Mehta",'Sales Data'!$K2:$K251)</f>
        <v>42500</v>
      </c>
      <c r="D72" s="7">
        <f>_xlfn.MAXIFS('Sales Data'!$B2:$B251,'Sales Data'!$C2:$C251,A72)</f>
        <v>46271.70416666667</v>
      </c>
      <c r="E72" s="8">
        <f>INT(MAX('Sales Data'!$B2:$B251)-D72)</f>
        <v>23</v>
      </c>
      <c r="F72" s="5" t="str">
        <f t="shared" si="3"/>
        <v>Low Value</v>
      </c>
    </row>
    <row r="73" spans="1:6" x14ac:dyDescent="0.3">
      <c r="A73" t="s">
        <v>292</v>
      </c>
      <c r="B73" s="5">
        <f>COUNTIF('Sales Data'!$C20:$C269,"Ayesha Patel")</f>
        <v>3</v>
      </c>
      <c r="C73" s="5">
        <f>SUMIF('Sales Data'!$C2:$C251,"Ayesha Patel",'Sales Data'!$K2:$K251)</f>
        <v>435250</v>
      </c>
      <c r="D73" s="7">
        <f>_xlfn.MAXIFS('Sales Data'!$B2:$B251,'Sales Data'!$C2:$C251,A73)</f>
        <v>46262.688194444447</v>
      </c>
      <c r="E73" s="8">
        <f>INT(MAX('Sales Data'!$B2:$B251)-D73)</f>
        <v>32</v>
      </c>
      <c r="F73" s="5" t="str">
        <f t="shared" si="3"/>
        <v>Loyal Customer</v>
      </c>
    </row>
    <row r="74" spans="1:6" x14ac:dyDescent="0.3">
      <c r="A74" t="s">
        <v>294</v>
      </c>
      <c r="B74" s="5">
        <f>COUNTIF('Sales Data'!$C20:$C269,"Kinjal Joshi")</f>
        <v>1</v>
      </c>
      <c r="C74" s="5">
        <f>SUMIF('Sales Data'!$C2:$C251,"Kinjal Joshi",'Sales Data'!$K2:$K251)</f>
        <v>220000</v>
      </c>
      <c r="D74" s="7">
        <f>_xlfn.MAXIFS('Sales Data'!$B2:$B251,'Sales Data'!$C2:$C251,A74)</f>
        <v>46226.390277777777</v>
      </c>
      <c r="E74" s="8">
        <f>INT(MAX('Sales Data'!$B2:$B251)-D74)</f>
        <v>68</v>
      </c>
      <c r="F74" s="5" t="str">
        <f t="shared" si="3"/>
        <v>Low Value</v>
      </c>
    </row>
    <row r="75" spans="1:6" x14ac:dyDescent="0.3">
      <c r="A75" t="s">
        <v>334</v>
      </c>
      <c r="B75" s="5">
        <f>COUNTIF('Sales Data'!$C20:$C269,"Roshni Shah")</f>
        <v>1</v>
      </c>
      <c r="C75" s="5">
        <f>SUMIF('Sales Data'!$C2:$C251,"Roshni Shah",'Sales Data'!$K2:$K251)</f>
        <v>57000</v>
      </c>
      <c r="D75" s="7">
        <f>_xlfn.MAXIFS('Sales Data'!$B2:$B251,'Sales Data'!$C2:$C251,A75)</f>
        <v>46266.711111111108</v>
      </c>
      <c r="E75" s="8">
        <f>INT(MAX('Sales Data'!$B2:$B251)-D75)</f>
        <v>28</v>
      </c>
      <c r="F75" s="5" t="str">
        <f t="shared" si="3"/>
        <v>Low Value</v>
      </c>
    </row>
    <row r="76" spans="1:6" x14ac:dyDescent="0.3">
      <c r="A76" t="s">
        <v>348</v>
      </c>
      <c r="B76" s="5">
        <f>COUNTIF('Sales Data'!$C20:$C269,"Dhruv Desai")</f>
        <v>1</v>
      </c>
      <c r="C76" s="5">
        <f>SUMIF('Sales Data'!$C2:$C251,"Dhruv Desai",'Sales Data'!$K2:$K251)</f>
        <v>233750</v>
      </c>
      <c r="D76" s="7">
        <f>_xlfn.MAXIFS('Sales Data'!$B2:$B251,'Sales Data'!$C2:$C251,A76)</f>
        <v>46283.854861111111</v>
      </c>
      <c r="E76" s="8">
        <f>INT(MAX('Sales Data'!$B2:$B251)-D76)</f>
        <v>10</v>
      </c>
      <c r="F76" s="5" t="str">
        <f t="shared" si="3"/>
        <v>Low Value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Data</vt:lpstr>
      <vt:lpstr>Customer Segmentation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Namrata</dc:creator>
  <cp:lastModifiedBy>Namrata Tarapara</cp:lastModifiedBy>
  <dcterms:created xsi:type="dcterms:W3CDTF">2015-06-05T18:17:20Z</dcterms:created>
  <dcterms:modified xsi:type="dcterms:W3CDTF">2026-10-06T11:52:23Z</dcterms:modified>
</cp:coreProperties>
</file>