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7360404F-B0C8-4355-A9C4-F5952AAE8D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sk-16" sheetId="1" r:id="rId1"/>
    <sheet name="Customer Retention Analysis" sheetId="2" r:id="rId2"/>
  </sheets>
  <externalReferences>
    <externalReference r:id="rId3"/>
  </externalReferences>
  <definedNames>
    <definedName name="ExternalData_1" localSheetId="0" hidden="1">'task-16'!$A$3:$Q$136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I7" i="2"/>
  <c r="I6" i="2"/>
  <c r="I5" i="2"/>
  <c r="I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D41" i="2"/>
  <c r="E41" i="2" s="1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8" i="2"/>
  <c r="E9" i="2"/>
  <c r="E7" i="2"/>
  <c r="E4" i="2"/>
  <c r="E5" i="2"/>
  <c r="E6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3" i="2"/>
  <c r="D44" i="2"/>
  <c r="D42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303E70-B100-45B0-A8BC-667526B9EC1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2" xr16:uid="{7327773A-12D4-40AA-9FC0-FDBA52572ACD}" keepAlive="1" name="Query - task-16" description="Connection to the 'task-16' query in the workbook." type="5" refreshedVersion="8" background="1" saveData="1">
    <dbPr connection="Provider=Microsoft.Mashup.OleDb.1;Data Source=$Workbook$;Location=task-16;Extended Properties=&quot;&quot;" command="SELECT * FROM [task-16]"/>
  </connection>
  <connection id="3" xr16:uid="{7DC9AD8B-4525-4AA2-AE20-0012DB69DC54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<sst xmlns="http://schemas.openxmlformats.org/spreadsheetml/2006/main" count="1031" uniqueCount="260">
  <si>
    <t>Order ID</t>
  </si>
  <si>
    <t>Order Date</t>
  </si>
  <si>
    <t>Customer Name</t>
  </si>
  <si>
    <t>Product</t>
  </si>
  <si>
    <t>Category</t>
  </si>
  <si>
    <t>Region</t>
  </si>
  <si>
    <t>Quantity</t>
  </si>
  <si>
    <t>List Price</t>
  </si>
  <si>
    <t>Discount</t>
  </si>
  <si>
    <t>Unit Price</t>
  </si>
  <si>
    <t>Sales</t>
  </si>
  <si>
    <t>Cost</t>
  </si>
  <si>
    <t>Profit</t>
  </si>
  <si>
    <t>Salesperson</t>
  </si>
  <si>
    <t>Month</t>
  </si>
  <si>
    <t>Month Number</t>
  </si>
  <si>
    <t>Profit Margin %</t>
  </si>
  <si>
    <t>ORD-1065</t>
  </si>
  <si>
    <t>Nikhil Joshi</t>
  </si>
  <si>
    <t>Monitor</t>
  </si>
  <si>
    <t>Electronics</t>
  </si>
  <si>
    <t>East</t>
  </si>
  <si>
    <t>Diya</t>
  </si>
  <si>
    <t>Apr</t>
  </si>
  <si>
    <t>ORD-1103</t>
  </si>
  <si>
    <t>Komal Shah</t>
  </si>
  <si>
    <t>Mouse</t>
  </si>
  <si>
    <t>Accessories</t>
  </si>
  <si>
    <t>West</t>
  </si>
  <si>
    <t>Meera</t>
  </si>
  <si>
    <t>ORD-1113</t>
  </si>
  <si>
    <t>Jay Joshi</t>
  </si>
  <si>
    <t>Laptop</t>
  </si>
  <si>
    <t>South</t>
  </si>
  <si>
    <t>ORD-1183</t>
  </si>
  <si>
    <t>Vivek Shah</t>
  </si>
  <si>
    <t>Desk</t>
  </si>
  <si>
    <t>Furniture</t>
  </si>
  <si>
    <t>North</t>
  </si>
  <si>
    <t>Aarav</t>
  </si>
  <si>
    <t>ORD-1112</t>
  </si>
  <si>
    <t>Manav Patel</t>
  </si>
  <si>
    <t>Backpack</t>
  </si>
  <si>
    <t>ORD-1096</t>
  </si>
  <si>
    <t>Yash Shah</t>
  </si>
  <si>
    <t>Keyboard</t>
  </si>
  <si>
    <t>ORD-1077</t>
  </si>
  <si>
    <t>Meera Shah</t>
  </si>
  <si>
    <t>ORD-1165</t>
  </si>
  <si>
    <t>Rohan Desai</t>
  </si>
  <si>
    <t>Printer</t>
  </si>
  <si>
    <t>Kabir</t>
  </si>
  <si>
    <t>ORD-1144</t>
  </si>
  <si>
    <t>Rupal Joshi</t>
  </si>
  <si>
    <t>ORD-1203</t>
  </si>
  <si>
    <t>Kavya Patel</t>
  </si>
  <si>
    <t>ORD-1015</t>
  </si>
  <si>
    <t>Smit Mehta</t>
  </si>
  <si>
    <t>Arjun</t>
  </si>
  <si>
    <t>ORD-1066</t>
  </si>
  <si>
    <t>Krish Joshi</t>
  </si>
  <si>
    <t>Riya</t>
  </si>
  <si>
    <t>ORD-1075</t>
  </si>
  <si>
    <t>ORD-1010</t>
  </si>
  <si>
    <t>Vatsal Desai</t>
  </si>
  <si>
    <t>ORD-1056</t>
  </si>
  <si>
    <t>Riddhi Mehta</t>
  </si>
  <si>
    <t>ORD-1221</t>
  </si>
  <si>
    <t>ORD-1040</t>
  </si>
  <si>
    <t>Akash Patel</t>
  </si>
  <si>
    <t>Headphones</t>
  </si>
  <si>
    <t>ORD-1102</t>
  </si>
  <si>
    <t>Nisha Joshi</t>
  </si>
  <si>
    <t>ORD-1045</t>
  </si>
  <si>
    <t>Darsh Shah</t>
  </si>
  <si>
    <t>ORD-1022</t>
  </si>
  <si>
    <t>Sneha Shah</t>
  </si>
  <si>
    <t>ORD-1027</t>
  </si>
  <si>
    <t>Amit Patel</t>
  </si>
  <si>
    <t>ORD-1069</t>
  </si>
  <si>
    <t>Mitali Shah</t>
  </si>
  <si>
    <t>ORD-1114</t>
  </si>
  <si>
    <t>Abhishek Mehta</t>
  </si>
  <si>
    <t>ORD-1064</t>
  </si>
  <si>
    <t>Ankit Mehta</t>
  </si>
  <si>
    <t>ORD-1180</t>
  </si>
  <si>
    <t>Tushar Patel</t>
  </si>
  <si>
    <t>ORD-1087</t>
  </si>
  <si>
    <t>Varun Patel</t>
  </si>
  <si>
    <t>ORD-1148</t>
  </si>
  <si>
    <t>ORD-1062</t>
  </si>
  <si>
    <t>ORD-1175</t>
  </si>
  <si>
    <t>Office Chair</t>
  </si>
  <si>
    <t>ORD-1008</t>
  </si>
  <si>
    <t>ORD-1017</t>
  </si>
  <si>
    <t>Pooja Mehta</t>
  </si>
  <si>
    <t>ORD-1196</t>
  </si>
  <si>
    <t>Vidhi Shah</t>
  </si>
  <si>
    <t>Feb</t>
  </si>
  <si>
    <t>ORD-1169</t>
  </si>
  <si>
    <t>Aaradhya Joshi</t>
  </si>
  <si>
    <t>Smartphone</t>
  </si>
  <si>
    <t>ORD-1123</t>
  </si>
  <si>
    <t>ORD-1225</t>
  </si>
  <si>
    <t>ORD-1162</t>
  </si>
  <si>
    <t>Riya Mehta</t>
  </si>
  <si>
    <t>ORD-1184</t>
  </si>
  <si>
    <t>Yug Desai</t>
  </si>
  <si>
    <t>ORD-1246</t>
  </si>
  <si>
    <t>Isha Joshi</t>
  </si>
  <si>
    <t>ORD-1125</t>
  </si>
  <si>
    <t>ORD-1089</t>
  </si>
  <si>
    <t>ORD-1194</t>
  </si>
  <si>
    <t>Khushi Mehta</t>
  </si>
  <si>
    <t>ORD-1218</t>
  </si>
  <si>
    <t>Nandini Shah</t>
  </si>
  <si>
    <t>ORD-1006</t>
  </si>
  <si>
    <t>Nirav Desai</t>
  </si>
  <si>
    <t>ORD-1235</t>
  </si>
  <si>
    <t>ORD-1204</t>
  </si>
  <si>
    <t>ORD-1213</t>
  </si>
  <si>
    <t>ORD-1185</t>
  </si>
  <si>
    <t>ORD-1088</t>
  </si>
  <si>
    <t>Hardik Patel</t>
  </si>
  <si>
    <t>ORD-1209</t>
  </si>
  <si>
    <t>ORD-1241</t>
  </si>
  <si>
    <t>Meet Desai</t>
  </si>
  <si>
    <t>ORD-1152</t>
  </si>
  <si>
    <t>ORD-1205</t>
  </si>
  <si>
    <t>Karan Desai</t>
  </si>
  <si>
    <t>ORD-1160</t>
  </si>
  <si>
    <t>Jatin Desai</t>
  </si>
  <si>
    <t>ORD-1073</t>
  </si>
  <si>
    <t>ORD-1048</t>
  </si>
  <si>
    <t>Anjali Desai</t>
  </si>
  <si>
    <t>ORD-1067</t>
  </si>
  <si>
    <t>Darshil Desai</t>
  </si>
  <si>
    <t>ORD-1083</t>
  </si>
  <si>
    <t>Mansi Patel</t>
  </si>
  <si>
    <t>Jan</t>
  </si>
  <si>
    <t>ORD-1238</t>
  </si>
  <si>
    <t>Chirag Mehta</t>
  </si>
  <si>
    <t>ORD-1198</t>
  </si>
  <si>
    <t>ORD-1206</t>
  </si>
  <si>
    <t>ORD-1079</t>
  </si>
  <si>
    <t>ORD-1159</t>
  </si>
  <si>
    <t>ORD-1154</t>
  </si>
  <si>
    <t>Vishal Mehta</t>
  </si>
  <si>
    <t>ORD-1128</t>
  </si>
  <si>
    <t>Aditi Joshi</t>
  </si>
  <si>
    <t>ORD-1122</t>
  </si>
  <si>
    <t>ORD-1118</t>
  </si>
  <si>
    <t>ORD-1181</t>
  </si>
  <si>
    <t>Arjun Mehta</t>
  </si>
  <si>
    <t>ORD-1201</t>
  </si>
  <si>
    <t>Raj Desai</t>
  </si>
  <si>
    <t>ORD-1143</t>
  </si>
  <si>
    <t>ORD-1055</t>
  </si>
  <si>
    <t>ORD-1173</t>
  </si>
  <si>
    <t>ORD-1216</t>
  </si>
  <si>
    <t>Jinal Desai</t>
  </si>
  <si>
    <t>ORD-1031</t>
  </si>
  <si>
    <t>ORD-1220</t>
  </si>
  <si>
    <t>ORD-1028</t>
  </si>
  <si>
    <t>Kunal Mehta</t>
  </si>
  <si>
    <t>ORD-1227</t>
  </si>
  <si>
    <t>Bhavya Shah</t>
  </si>
  <si>
    <t>ORD-1082</t>
  </si>
  <si>
    <t>ORD-1167</t>
  </si>
  <si>
    <t>Neha Shah</t>
  </si>
  <si>
    <t>ORD-1049</t>
  </si>
  <si>
    <t>Mar</t>
  </si>
  <si>
    <t>ORD-1042</t>
  </si>
  <si>
    <t>ORD-1228</t>
  </si>
  <si>
    <t>Rahul Mehta</t>
  </si>
  <si>
    <t>ORD-1136</t>
  </si>
  <si>
    <t>ORD-1035</t>
  </si>
  <si>
    <t>ORD-1187</t>
  </si>
  <si>
    <t>ORD-1121</t>
  </si>
  <si>
    <t>Maulik Patel</t>
  </si>
  <si>
    <t>ORD-1207</t>
  </si>
  <si>
    <t>ORD-1063</t>
  </si>
  <si>
    <t>ORD-1188</t>
  </si>
  <si>
    <t>ORD-1126</t>
  </si>
  <si>
    <t>Palak Joshi</t>
  </si>
  <si>
    <t>ORD-1023</t>
  </si>
  <si>
    <t>ORD-1009</t>
  </si>
  <si>
    <t>Heena Joshi</t>
  </si>
  <si>
    <t>ORD-1171</t>
  </si>
  <si>
    <t>ORD-1091</t>
  </si>
  <si>
    <t>ORD-1129</t>
  </si>
  <si>
    <t>ORD-1193</t>
  </si>
  <si>
    <t>ORD-1094</t>
  </si>
  <si>
    <t>Bhavin Desai</t>
  </si>
  <si>
    <t>ORD-1013</t>
  </si>
  <si>
    <t>Krupa Shah</t>
  </si>
  <si>
    <t>ORD-1248</t>
  </si>
  <si>
    <t>Ronak Patel</t>
  </si>
  <si>
    <t>ORD-1138</t>
  </si>
  <si>
    <t>ORD-1050</t>
  </si>
  <si>
    <t>Aarav Patel</t>
  </si>
  <si>
    <t>ORD-1230</t>
  </si>
  <si>
    <t>ORD-1190</t>
  </si>
  <si>
    <t>ORD-1014</t>
  </si>
  <si>
    <t>ORD-1229</t>
  </si>
  <si>
    <t>May</t>
  </si>
  <si>
    <t>ORD-1060</t>
  </si>
  <si>
    <t>Vraj Desai</t>
  </si>
  <si>
    <t>ORD-1250</t>
  </si>
  <si>
    <t>ORD-1021</t>
  </si>
  <si>
    <t>ORD-1219</t>
  </si>
  <si>
    <t>ORD-1240</t>
  </si>
  <si>
    <t>ORD-1151</t>
  </si>
  <si>
    <t>ORD-1004</t>
  </si>
  <si>
    <t>Parth Joshi</t>
  </si>
  <si>
    <t>ORD-1046</t>
  </si>
  <si>
    <t>Diya Patel</t>
  </si>
  <si>
    <t>ORD-1223</t>
  </si>
  <si>
    <t>ORD-1095</t>
  </si>
  <si>
    <t>Shreya Joshi</t>
  </si>
  <si>
    <t>ORD-1164</t>
  </si>
  <si>
    <t>ORD-1236</t>
  </si>
  <si>
    <t>ORD-1020</t>
  </si>
  <si>
    <t>ORD-1147</t>
  </si>
  <si>
    <t>ORD-1249</t>
  </si>
  <si>
    <t>Mihir Patel</t>
  </si>
  <si>
    <t>ORD-1090</t>
  </si>
  <si>
    <t>ORD-1200</t>
  </si>
  <si>
    <t>ORD-1007</t>
  </si>
  <si>
    <t>ORD-1208</t>
  </si>
  <si>
    <t>ORD-1232</t>
  </si>
  <si>
    <t>ORD-1179</t>
  </si>
  <si>
    <t>ORD-1140</t>
  </si>
  <si>
    <t>ORD-1018</t>
  </si>
  <si>
    <t>Hetal Shah</t>
  </si>
  <si>
    <t>ORD-1130</t>
  </si>
  <si>
    <t>Priya Joshi</t>
  </si>
  <si>
    <t>ORD-1139</t>
  </si>
  <si>
    <t>Jaydeep Mehta</t>
  </si>
  <si>
    <t>ORD-1097</t>
  </si>
  <si>
    <t>ORD-1071</t>
  </si>
  <si>
    <t>ORD-1119</t>
  </si>
  <si>
    <t>ORD-1109</t>
  </si>
  <si>
    <t>Customer</t>
  </si>
  <si>
    <t>Total Orders</t>
  </si>
  <si>
    <t>First Purchase Date</t>
  </si>
  <si>
    <t>Last Purchase Date</t>
  </si>
  <si>
    <t>Customer Type</t>
  </si>
  <si>
    <t>Recency Days</t>
  </si>
  <si>
    <t>Customer Count</t>
  </si>
  <si>
    <t>Repeat Customer</t>
  </si>
  <si>
    <t>One-Time Customer</t>
  </si>
  <si>
    <t>Lost Customer</t>
  </si>
  <si>
    <t>Total Customers</t>
  </si>
  <si>
    <t>Retention Rate %</t>
  </si>
  <si>
    <t>Key Business Insights</t>
  </si>
  <si>
    <r>
      <t>1. 52.31% of customers are repeat customers</t>
    </r>
    <r>
      <rPr>
        <sz val="11"/>
        <color theme="1"/>
        <rFont val="Calibri"/>
        <family val="2"/>
        <scheme val="minor"/>
      </rPr>
      <t>, indicating that more than half of the customer base has made multiple purchases.</t>
    </r>
  </si>
  <si>
    <r>
      <t>2. 32.31% are one-time customers</t>
    </r>
    <r>
      <rPr>
        <sz val="11"/>
        <color theme="1"/>
        <rFont val="Calibri"/>
        <family val="2"/>
        <scheme val="minor"/>
      </rPr>
      <t>, representing an opportunity for repeat-purchase campaigns.</t>
    </r>
  </si>
  <si>
    <r>
      <t>3. 15.38% are classified as lost customers</t>
    </r>
    <r>
      <rPr>
        <sz val="11"/>
        <color theme="1"/>
        <rFont val="Calibri"/>
        <family val="2"/>
        <scheme val="minor"/>
      </rPr>
      <t>, requiring re-engagement strategies.</t>
    </r>
  </si>
  <si>
    <r>
      <t xml:space="preserve">4. The business should focus on converting </t>
    </r>
    <r>
      <rPr>
        <b/>
        <sz val="11"/>
        <color theme="1"/>
        <rFont val="Calibri"/>
        <family val="2"/>
        <scheme val="minor"/>
      </rPr>
      <t>one-time customers into repeat customers</t>
    </r>
    <r>
      <rPr>
        <sz val="11"/>
        <color theme="1"/>
        <rFont val="Calibri"/>
        <family val="2"/>
        <scheme val="minor"/>
      </rPr>
      <t xml:space="preserve"> and reactivating lost customers.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</si>
</sst>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0" fontId="3" fillId="0" borderId="0" xfId="1" applyNumberFormat="1" applyFont="1" applyBorder="1" applyAlignment="1">
      <alignment horizontal="center"/>
    </xf>
    <xf numFmtId="0" fontId="0" fillId="0" borderId="0" xfId="0" applyBorder="1"/>
    <xf numFmtId="22" fontId="0" fillId="0" borderId="0" xfId="0" applyNumberFormat="1" applyBorder="1"/>
    <xf numFmtId="10" fontId="0" fillId="0" borderId="0" xfId="1" applyNumberFormat="1" applyFont="1" applyBorder="1"/>
    <xf numFmtId="14" fontId="0" fillId="0" borderId="0" xfId="0" applyNumberFormat="1"/>
    <xf numFmtId="0" fontId="0" fillId="0" borderId="0" xfId="0" applyNumberFormat="1"/>
    <xf numFmtId="0" fontId="4" fillId="0" borderId="0" xfId="0" applyFont="1"/>
    <xf numFmtId="10" fontId="4" fillId="0" borderId="0" xfId="1" applyNumberFormat="1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2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b/>
      </font>
      <alignment horizontal="center" vertical="bottom" textRotation="0" wrapText="0" indent="0" justifyLastLine="0" shrinkToFit="0" readingOrder="0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Retention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'Customer Retention Analysis'!$I$3</c:f>
              <c:strCache>
                <c:ptCount val="1"/>
                <c:pt idx="0">
                  <c:v>Customer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Retention Analysis'!$H$4:$H$6</c:f>
              <c:strCache>
                <c:ptCount val="3"/>
                <c:pt idx="0">
                  <c:v>Repeat Customer</c:v>
                </c:pt>
                <c:pt idx="1">
                  <c:v>One-Time Customer</c:v>
                </c:pt>
                <c:pt idx="2">
                  <c:v>Lost Customer</c:v>
                </c:pt>
              </c:strCache>
            </c:strRef>
          </c:cat>
          <c:val>
            <c:numRef>
              <c:f>'Customer Retention Analysis'!$I$4:$I$6</c:f>
              <c:numCache>
                <c:formatCode>General</c:formatCode>
                <c:ptCount val="3"/>
                <c:pt idx="0">
                  <c:v>34</c:v>
                </c:pt>
                <c:pt idx="1">
                  <c:v>21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F-44C4-9FC3-F42B175BBD6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491289</xdr:colOff>
      <xdr:row>10</xdr:row>
      <xdr:rowOff>42111</xdr:rowOff>
    </xdr:from>
    <xdr:to>
      <xdr:col>11</xdr:col>
      <xdr:colOff>150394</xdr:colOff>
      <xdr:row>25</xdr:row>
      <xdr:rowOff>78206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61A204-A9CF-7D3E-6230-4617674A0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sk_16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sk-16"/>
      <sheetName val="Sheet1"/>
      <sheetName val="task_16"/>
    </sheetNames>
    <sheetDataSet>
      <sheetData sheetId="0">
        <row r="4">
          <cell r="B4">
            <v>46118.459722222222</v>
          </cell>
        </row>
      </sheetData>
      <sheetData sheetId="1"/>
      <sheetData sheetId="2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7CF1A4E-72A1-461C-8A42-54F28386CA98}" autoFormatId="16" applyNumberFormats="0" applyBorderFormats="0" applyFontFormats="0" applyPatternFormats="0" applyAlignmentFormats="0" applyWidthHeightFormats="0">
  <queryTableRefresh nextId="18">
    <queryTableFields count="17">
      <queryTableField id="1" name="Order ID" tableColumnId="1"/>
      <queryTableField id="2" name="Order Date" tableColumnId="2"/>
      <queryTableField id="3" name="Customer Name" tableColumnId="3"/>
      <queryTableField id="4" name="Product" tableColumnId="4"/>
      <queryTableField id="5" name="Category" tableColumnId="5"/>
      <queryTableField id="6" name="Region" tableColumnId="6"/>
      <queryTableField id="7" name="Quantity" tableColumnId="7"/>
      <queryTableField id="8" name="List Price" tableColumnId="8"/>
      <queryTableField id="9" name="Discount" tableColumnId="9"/>
      <queryTableField id="10" name="Unit Price" tableColumnId="10"/>
      <queryTableField id="11" name="Sales" tableColumnId="11"/>
      <queryTableField id="12" name="Cost" tableColumnId="12"/>
      <queryTableField id="13" name="Profit" tableColumnId="13"/>
      <queryTableField id="14" name="Salesperson" tableColumnId="14"/>
      <queryTableField id="15" name="Month" tableColumnId="15"/>
      <queryTableField id="16" name="Month Number" tableColumnId="16"/>
      <queryTableField id="17" name="Profit Margin %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548EF2-0F40-425D-8DFD-8229C2D8F525}" name="task_16" displayName="task_16" ref="A3:Q136" tableType="queryTable" totalsRowShown="0" headerRowDxfId="23">
  <tableColumns count="17">
    <tableColumn id="1" xr3:uid="{5ABB3864-EEBC-42A0-80F0-54080340D380}" uniqueName="1" name="Order ID" queryTableFieldId="1" dataDxfId="22"/>
    <tableColumn id="2" xr3:uid="{33843767-9C9C-4891-BD1C-4D9955AEC263}" uniqueName="2" name="Order Date" queryTableFieldId="2" dataDxfId="21"/>
    <tableColumn id="3" xr3:uid="{3B2BAECB-28A9-4FF3-BD44-ECBD5915C2E2}" uniqueName="3" name="Customer Name" queryTableFieldId="3" dataDxfId="20"/>
    <tableColumn id="4" xr3:uid="{31374F16-DFA7-41BC-895B-15A5D2F7C104}" uniqueName="4" name="Product" queryTableFieldId="4" dataDxfId="19"/>
    <tableColumn id="5" xr3:uid="{223F6BA0-1A7C-451C-AD15-64A7FF29D680}" uniqueName="5" name="Category" queryTableFieldId="5" dataDxfId="18"/>
    <tableColumn id="6" xr3:uid="{D0F9F8AC-F514-464D-83F0-2BCA3309754B}" uniqueName="6" name="Region" queryTableFieldId="6" dataDxfId="17"/>
    <tableColumn id="7" xr3:uid="{CC50A635-A7EB-4F51-A6DE-B49EA505B055}" uniqueName="7" name="Quantity" queryTableFieldId="7"/>
    <tableColumn id="8" xr3:uid="{D7CF9F95-9487-4FEF-A7CF-8D322CB662E0}" uniqueName="8" name="List Price" queryTableFieldId="8"/>
    <tableColumn id="9" xr3:uid="{58793E98-703D-426C-AB97-27AFB1A65022}" uniqueName="9" name="Discount" queryTableFieldId="9"/>
    <tableColumn id="10" xr3:uid="{338D4D86-5BCA-417B-BB4B-41BBB8421809}" uniqueName="10" name="Unit Price" queryTableFieldId="10"/>
    <tableColumn id="11" xr3:uid="{8833001A-9400-45A5-9D19-EAC3355ACEE1}" uniqueName="11" name="Sales" queryTableFieldId="11"/>
    <tableColumn id="12" xr3:uid="{5AF50DF3-64DB-4C93-957C-C7A3EB5E11F9}" uniqueName="12" name="Cost" queryTableFieldId="12"/>
    <tableColumn id="13" xr3:uid="{0785FF03-DE13-43E3-8D6D-4C7A818A9554}" uniqueName="13" name="Profit" queryTableFieldId="13"/>
    <tableColumn id="14" xr3:uid="{162CA910-16D8-4D43-90B9-CA9C292CF287}" uniqueName="14" name="Salesperson" queryTableFieldId="14" dataDxfId="16"/>
    <tableColumn id="15" xr3:uid="{CFAE5EBE-0F6A-4B4B-9AB2-10BBFDA55F81}" uniqueName="15" name="Month" queryTableFieldId="15" dataDxfId="15"/>
    <tableColumn id="16" xr3:uid="{6240AA2E-F84D-425F-BE39-65039ECA881F}" uniqueName="16" name="Month Number" queryTableFieldId="16"/>
    <tableColumn id="17" xr3:uid="{539DAB48-4DBB-4FAD-B633-65B9F026A227}" uniqueName="17" name="Profit Margin %" queryTableFieldId="17" dataDxfId="14" dataCellStyle="Percen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491BA4-DDAA-45E6-B3F1-5E801C2BCF37}" name="Table2" displayName="Table2" ref="A3:F68" totalsRowShown="0" headerRowDxfId="13">
  <tableColumns count="6">
    <tableColumn id="1" xr3:uid="{B2BFEA95-ECFD-4691-995C-4E2FA0DC9F34}" name="Customer" dataDxfId="12"/>
    <tableColumn id="2" xr3:uid="{A39089E2-C506-4E45-9EE0-AA009399DA27}" name="Total Orders" dataDxfId="11">
      <calculatedColumnFormula>COUNTIF('task-16'!$C4:$C136,A4)</calculatedColumnFormula>
    </tableColumn>
    <tableColumn id="3" xr3:uid="{67AB4E27-DFFD-4274-8952-F625B5367469}" name="First Purchase Date" dataDxfId="10">
      <calculatedColumnFormula>_xlfn.MINIFS('task-16'!$B4:$B136,'task-16'!$C4:$C136,A4)</calculatedColumnFormula>
    </tableColumn>
    <tableColumn id="4" xr3:uid="{DD026048-1969-4D62-9D64-389B748BEB24}" name="Last Purchase Date" dataDxfId="9">
      <calculatedColumnFormula>_xlfn.MAXIFS('task-16'!$B4:$B136,'task-16'!$C4:$C136,A4)</calculatedColumnFormula>
    </tableColumn>
    <tableColumn id="6" xr3:uid="{156C1BF9-08B3-48BA-965D-27EEE183C574}" name="Recency Days" dataDxfId="8">
      <calculatedColumnFormula>INT(MAX('[1]task-16'!$B4:$B136)-D4)</calculatedColumnFormula>
    </tableColumn>
    <tableColumn id="5" xr3:uid="{DA37F685-C853-439A-A9DD-3C5F70CC150D}" name="Customer Type" dataDxfId="7">
      <calculatedColumnFormula>IF(E4&gt;90,"Lost Customer",IF(B4=1,"One-Time Customer","Repeat Customer"))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6F8BA-71B2-4872-9F89-7AD77C221D06}" name="Table3" displayName="Table3" ref="H3:I8" totalsRowShown="0">
  <tableColumns count="2">
    <tableColumn id="1" xr3:uid="{78EA9E79-99F0-4450-AE80-9619E87C1ADC}" name="Customer Type"/>
    <tableColumn id="2" xr3:uid="{05465BA0-AC53-45D0-ABAB-8A3814A90554}" name="Customer Count" dataDxfId="6">
      <calculatedColumnFormula>COUNTIF(F4:F68,H4)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136"/>
  <sheetViews>
    <sheetView workbookViewId="0">
      <selection activeCell="F13" sqref="F13"/>
    </sheetView>
  </sheetViews>
  <sheetFormatPr defaultRowHeight="14.4" x14ac:dyDescent="0.3"/>
  <cols>
    <col min="1" max="1" width="19.21875" style="4" customWidth="1"/>
    <col min="2" max="2" width="22.88671875" style="4" customWidth="1"/>
    <col min="3" max="3" width="20" style="4" customWidth="1"/>
    <col min="4" max="4" width="15" style="4" customWidth="1"/>
    <col min="5" max="5" width="18.88671875" style="4" customWidth="1"/>
    <col min="6" max="6" width="12.77734375" style="4" customWidth="1"/>
    <col min="7" max="7" width="17.109375" style="4" customWidth="1"/>
    <col min="8" max="8" width="14.33203125" style="4" customWidth="1"/>
    <col min="9" max="9" width="17.33203125" style="4" customWidth="1"/>
    <col min="10" max="10" width="15" style="4" customWidth="1"/>
    <col min="11" max="11" width="16.5546875" style="4" customWidth="1"/>
    <col min="12" max="12" width="15.21875" style="4" customWidth="1"/>
    <col min="13" max="13" width="15.109375" style="4" customWidth="1"/>
    <col min="14" max="14" width="14.21875" style="4" customWidth="1"/>
    <col min="15" max="15" width="11.88671875" style="4" customWidth="1"/>
    <col min="16" max="16" width="11.77734375" style="4" customWidth="1"/>
    <col min="17" max="17" width="21.21875" style="4" customWidth="1"/>
    <col min="18" max="16384" width="8.88671875" style="4"/>
  </cols>
  <sheetData>
    <row r="3" spans="1:17" s="2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</row>
    <row r="4" spans="1:17" x14ac:dyDescent="0.3">
      <c r="A4" s="4" t="s">
        <v>17</v>
      </c>
      <c r="B4" s="5">
        <v>46114.39166666667</v>
      </c>
      <c r="C4" s="4" t="s">
        <v>18</v>
      </c>
      <c r="D4" s="4" t="s">
        <v>19</v>
      </c>
      <c r="E4" s="4" t="s">
        <v>20</v>
      </c>
      <c r="F4" s="4" t="s">
        <v>21</v>
      </c>
      <c r="G4" s="4">
        <v>4</v>
      </c>
      <c r="H4" s="4">
        <v>15000</v>
      </c>
      <c r="I4" s="4">
        <v>0.1</v>
      </c>
      <c r="J4" s="4">
        <v>13500</v>
      </c>
      <c r="K4" s="4">
        <v>54000</v>
      </c>
      <c r="L4" s="4">
        <v>37739.800000000003</v>
      </c>
      <c r="M4" s="4">
        <v>16260.2</v>
      </c>
      <c r="N4" s="4" t="s">
        <v>22</v>
      </c>
      <c r="O4" s="4" t="s">
        <v>23</v>
      </c>
      <c r="P4" s="4">
        <v>4</v>
      </c>
      <c r="Q4" s="6">
        <v>0.30111481481481484</v>
      </c>
    </row>
    <row r="5" spans="1:17" x14ac:dyDescent="0.3">
      <c r="A5" s="4" t="s">
        <v>24</v>
      </c>
      <c r="B5" s="5">
        <v>46116.579861111109</v>
      </c>
      <c r="C5" s="4" t="s">
        <v>25</v>
      </c>
      <c r="D5" s="4" t="s">
        <v>26</v>
      </c>
      <c r="E5" s="4" t="s">
        <v>27</v>
      </c>
      <c r="F5" s="4" t="s">
        <v>28</v>
      </c>
      <c r="G5" s="4">
        <v>5</v>
      </c>
      <c r="H5" s="4">
        <v>1200</v>
      </c>
      <c r="I5" s="4">
        <v>0.15</v>
      </c>
      <c r="J5" s="4">
        <v>1020</v>
      </c>
      <c r="K5" s="4">
        <v>5100</v>
      </c>
      <c r="L5" s="4">
        <v>3541.19</v>
      </c>
      <c r="M5" s="4">
        <v>1558.81</v>
      </c>
      <c r="N5" s="4" t="s">
        <v>29</v>
      </c>
      <c r="O5" s="4" t="s">
        <v>23</v>
      </c>
      <c r="P5" s="4">
        <v>4</v>
      </c>
      <c r="Q5" s="6">
        <v>0.30564901960784313</v>
      </c>
    </row>
    <row r="6" spans="1:17" x14ac:dyDescent="0.3">
      <c r="A6" s="4" t="s">
        <v>30</v>
      </c>
      <c r="B6" s="5">
        <v>46118.459722222222</v>
      </c>
      <c r="C6" s="4" t="s">
        <v>31</v>
      </c>
      <c r="D6" s="4" t="s">
        <v>32</v>
      </c>
      <c r="E6" s="4" t="s">
        <v>20</v>
      </c>
      <c r="F6" s="4" t="s">
        <v>33</v>
      </c>
      <c r="G6" s="4">
        <v>1</v>
      </c>
      <c r="H6" s="4">
        <v>55000</v>
      </c>
      <c r="I6" s="4">
        <v>0.05</v>
      </c>
      <c r="J6" s="4">
        <v>52250</v>
      </c>
      <c r="K6" s="4">
        <v>52250</v>
      </c>
      <c r="L6" s="4">
        <v>37092.49</v>
      </c>
      <c r="M6" s="4">
        <v>15157.51</v>
      </c>
      <c r="N6" s="4" t="s">
        <v>29</v>
      </c>
      <c r="O6" s="4" t="s">
        <v>23</v>
      </c>
      <c r="P6" s="4">
        <v>4</v>
      </c>
      <c r="Q6" s="6">
        <v>0.2900958851674641</v>
      </c>
    </row>
    <row r="7" spans="1:17" x14ac:dyDescent="0.3">
      <c r="A7" s="4" t="s">
        <v>34</v>
      </c>
      <c r="B7" s="5">
        <v>46119.460416666669</v>
      </c>
      <c r="C7" s="4" t="s">
        <v>35</v>
      </c>
      <c r="D7" s="4" t="s">
        <v>36</v>
      </c>
      <c r="E7" s="4" t="s">
        <v>37</v>
      </c>
      <c r="F7" s="4" t="s">
        <v>38</v>
      </c>
      <c r="G7" s="4">
        <v>5</v>
      </c>
      <c r="H7" s="4">
        <v>12000</v>
      </c>
      <c r="I7" s="4">
        <v>0.05</v>
      </c>
      <c r="J7" s="4">
        <v>11400</v>
      </c>
      <c r="K7" s="4">
        <v>57000</v>
      </c>
      <c r="L7" s="4">
        <v>36885.94</v>
      </c>
      <c r="M7" s="4">
        <v>20114.060000000001</v>
      </c>
      <c r="N7" s="4" t="s">
        <v>39</v>
      </c>
      <c r="O7" s="4" t="s">
        <v>23</v>
      </c>
      <c r="P7" s="4">
        <v>4</v>
      </c>
      <c r="Q7" s="6">
        <v>0.35287824561403514</v>
      </c>
    </row>
    <row r="8" spans="1:17" x14ac:dyDescent="0.3">
      <c r="A8" s="4" t="s">
        <v>40</v>
      </c>
      <c r="B8" s="5">
        <v>46119.836111111108</v>
      </c>
      <c r="C8" s="4" t="s">
        <v>41</v>
      </c>
      <c r="D8" s="4" t="s">
        <v>42</v>
      </c>
      <c r="E8" s="4" t="s">
        <v>27</v>
      </c>
      <c r="F8" s="4" t="s">
        <v>33</v>
      </c>
      <c r="G8" s="4">
        <v>4</v>
      </c>
      <c r="H8" s="4">
        <v>1800</v>
      </c>
      <c r="I8" s="4">
        <v>0</v>
      </c>
      <c r="J8" s="4">
        <v>1800</v>
      </c>
      <c r="K8" s="4">
        <v>7200</v>
      </c>
      <c r="L8" s="4">
        <v>5705.1</v>
      </c>
      <c r="M8" s="4">
        <v>1494.9</v>
      </c>
      <c r="N8" s="4" t="s">
        <v>29</v>
      </c>
      <c r="O8" s="4" t="s">
        <v>23</v>
      </c>
      <c r="P8" s="4">
        <v>4</v>
      </c>
      <c r="Q8" s="6">
        <v>0.207625</v>
      </c>
    </row>
    <row r="9" spans="1:17" x14ac:dyDescent="0.3">
      <c r="A9" s="4" t="s">
        <v>43</v>
      </c>
      <c r="B9" s="5">
        <v>46120.674305555556</v>
      </c>
      <c r="C9" s="4" t="s">
        <v>44</v>
      </c>
      <c r="D9" s="4" t="s">
        <v>45</v>
      </c>
      <c r="E9" s="4" t="s">
        <v>27</v>
      </c>
      <c r="F9" s="4" t="s">
        <v>38</v>
      </c>
      <c r="G9" s="4">
        <v>1</v>
      </c>
      <c r="H9" s="4">
        <v>2200</v>
      </c>
      <c r="I9" s="4">
        <v>0</v>
      </c>
      <c r="J9" s="4">
        <v>2200</v>
      </c>
      <c r="K9" s="4">
        <v>2200</v>
      </c>
      <c r="L9" s="4">
        <v>1464.19</v>
      </c>
      <c r="M9" s="4">
        <v>735.81</v>
      </c>
      <c r="N9" s="4" t="s">
        <v>29</v>
      </c>
      <c r="O9" s="4" t="s">
        <v>23</v>
      </c>
      <c r="P9" s="4">
        <v>4</v>
      </c>
      <c r="Q9" s="6">
        <v>0.33445909090909087</v>
      </c>
    </row>
    <row r="10" spans="1:17" x14ac:dyDescent="0.3">
      <c r="A10" s="4" t="s">
        <v>46</v>
      </c>
      <c r="B10" s="5">
        <v>46120.497916666667</v>
      </c>
      <c r="C10" s="4" t="s">
        <v>47</v>
      </c>
      <c r="D10" s="4" t="s">
        <v>36</v>
      </c>
      <c r="E10" s="4" t="s">
        <v>37</v>
      </c>
      <c r="F10" s="4" t="s">
        <v>33</v>
      </c>
      <c r="G10" s="4">
        <v>2</v>
      </c>
      <c r="H10" s="4">
        <v>12000</v>
      </c>
      <c r="I10" s="4">
        <v>0</v>
      </c>
      <c r="J10" s="4">
        <v>12000</v>
      </c>
      <c r="K10" s="4">
        <v>24000</v>
      </c>
      <c r="L10" s="4">
        <v>16905.36</v>
      </c>
      <c r="M10" s="4">
        <v>7094.64</v>
      </c>
      <c r="N10" s="4" t="s">
        <v>39</v>
      </c>
      <c r="O10" s="4" t="s">
        <v>23</v>
      </c>
      <c r="P10" s="4">
        <v>4</v>
      </c>
      <c r="Q10" s="6">
        <v>0.29561000000000004</v>
      </c>
    </row>
    <row r="11" spans="1:17" x14ac:dyDescent="0.3">
      <c r="A11" s="4" t="s">
        <v>48</v>
      </c>
      <c r="B11" s="5">
        <v>46121.667361111111</v>
      </c>
      <c r="C11" s="4" t="s">
        <v>49</v>
      </c>
      <c r="D11" s="4" t="s">
        <v>50</v>
      </c>
      <c r="E11" s="4" t="s">
        <v>20</v>
      </c>
      <c r="F11" s="4" t="s">
        <v>38</v>
      </c>
      <c r="G11" s="4">
        <v>4</v>
      </c>
      <c r="H11" s="4">
        <v>11000</v>
      </c>
      <c r="I11" s="4">
        <v>0.15</v>
      </c>
      <c r="J11" s="4">
        <v>9350</v>
      </c>
      <c r="K11" s="4">
        <v>37400</v>
      </c>
      <c r="L11" s="4">
        <v>27459.43</v>
      </c>
      <c r="M11" s="4">
        <v>9940.57</v>
      </c>
      <c r="N11" s="4" t="s">
        <v>51</v>
      </c>
      <c r="O11" s="4" t="s">
        <v>23</v>
      </c>
      <c r="P11" s="4">
        <v>4</v>
      </c>
      <c r="Q11" s="6">
        <v>0.26579064171122996</v>
      </c>
    </row>
    <row r="12" spans="1:17" x14ac:dyDescent="0.3">
      <c r="A12" s="4" t="s">
        <v>52</v>
      </c>
      <c r="B12" s="5">
        <v>46121.702777777777</v>
      </c>
      <c r="C12" s="4" t="s">
        <v>53</v>
      </c>
      <c r="D12" s="4" t="s">
        <v>26</v>
      </c>
      <c r="E12" s="4" t="s">
        <v>27</v>
      </c>
      <c r="F12" s="4" t="s">
        <v>28</v>
      </c>
      <c r="G12" s="4">
        <v>5</v>
      </c>
      <c r="H12" s="4">
        <v>1200</v>
      </c>
      <c r="I12" s="4">
        <v>0.05</v>
      </c>
      <c r="J12" s="4">
        <v>1140</v>
      </c>
      <c r="K12" s="4">
        <v>5700</v>
      </c>
      <c r="L12" s="4">
        <v>4553.41</v>
      </c>
      <c r="M12" s="4">
        <v>1146.5899999999999</v>
      </c>
      <c r="N12" s="4" t="s">
        <v>39</v>
      </c>
      <c r="O12" s="4" t="s">
        <v>23</v>
      </c>
      <c r="P12" s="4">
        <v>4</v>
      </c>
      <c r="Q12" s="6">
        <v>0.20115614035087717</v>
      </c>
    </row>
    <row r="13" spans="1:17" x14ac:dyDescent="0.3">
      <c r="A13" s="4" t="s">
        <v>54</v>
      </c>
      <c r="B13" s="5">
        <v>46122.620138888888</v>
      </c>
      <c r="C13" s="4" t="s">
        <v>55</v>
      </c>
      <c r="D13" s="4" t="s">
        <v>50</v>
      </c>
      <c r="E13" s="4" t="s">
        <v>20</v>
      </c>
      <c r="F13" s="4" t="s">
        <v>33</v>
      </c>
      <c r="G13" s="4">
        <v>5</v>
      </c>
      <c r="H13" s="4">
        <v>11000</v>
      </c>
      <c r="I13" s="4">
        <v>0.1</v>
      </c>
      <c r="J13" s="4">
        <v>9900</v>
      </c>
      <c r="K13" s="4">
        <v>49500</v>
      </c>
      <c r="L13" s="4">
        <v>33034.32</v>
      </c>
      <c r="M13" s="4">
        <v>16465.68</v>
      </c>
      <c r="N13" s="4" t="s">
        <v>22</v>
      </c>
      <c r="O13" s="4" t="s">
        <v>23</v>
      </c>
      <c r="P13" s="4">
        <v>4</v>
      </c>
      <c r="Q13" s="6">
        <v>0.33263999999999999</v>
      </c>
    </row>
    <row r="14" spans="1:17" x14ac:dyDescent="0.3">
      <c r="A14" s="4" t="s">
        <v>56</v>
      </c>
      <c r="B14" s="5">
        <v>46123.40625</v>
      </c>
      <c r="C14" s="4" t="s">
        <v>57</v>
      </c>
      <c r="D14" s="4" t="s">
        <v>45</v>
      </c>
      <c r="E14" s="4" t="s">
        <v>27</v>
      </c>
      <c r="F14" s="4" t="s">
        <v>38</v>
      </c>
      <c r="G14" s="4">
        <v>5</v>
      </c>
      <c r="H14" s="4">
        <v>2200</v>
      </c>
      <c r="I14" s="4">
        <v>0</v>
      </c>
      <c r="J14" s="4">
        <v>2200</v>
      </c>
      <c r="K14" s="4">
        <v>11000</v>
      </c>
      <c r="L14" s="4">
        <v>8101.6</v>
      </c>
      <c r="M14" s="4">
        <v>2898.4</v>
      </c>
      <c r="N14" s="4" t="s">
        <v>58</v>
      </c>
      <c r="O14" s="4" t="s">
        <v>23</v>
      </c>
      <c r="P14" s="4">
        <v>4</v>
      </c>
      <c r="Q14" s="6">
        <v>0.26349090909090911</v>
      </c>
    </row>
    <row r="15" spans="1:17" x14ac:dyDescent="0.3">
      <c r="A15" s="4" t="s">
        <v>59</v>
      </c>
      <c r="B15" s="5">
        <v>46123.470138888886</v>
      </c>
      <c r="C15" s="4" t="s">
        <v>60</v>
      </c>
      <c r="D15" s="4" t="s">
        <v>42</v>
      </c>
      <c r="E15" s="4" t="s">
        <v>27</v>
      </c>
      <c r="F15" s="4" t="s">
        <v>28</v>
      </c>
      <c r="G15" s="4">
        <v>1</v>
      </c>
      <c r="H15" s="4">
        <v>1800</v>
      </c>
      <c r="I15" s="4">
        <v>0</v>
      </c>
      <c r="J15" s="4">
        <v>1800</v>
      </c>
      <c r="K15" s="4">
        <v>1800</v>
      </c>
      <c r="L15" s="4">
        <v>1426.86</v>
      </c>
      <c r="M15" s="4">
        <v>373.14</v>
      </c>
      <c r="N15" s="4" t="s">
        <v>61</v>
      </c>
      <c r="O15" s="4" t="s">
        <v>23</v>
      </c>
      <c r="P15" s="4">
        <v>4</v>
      </c>
      <c r="Q15" s="6">
        <v>0.20729999999999998</v>
      </c>
    </row>
    <row r="16" spans="1:17" x14ac:dyDescent="0.3">
      <c r="A16" s="4" t="s">
        <v>62</v>
      </c>
      <c r="B16" s="5">
        <v>46125.457638888889</v>
      </c>
      <c r="C16" s="4" t="s">
        <v>41</v>
      </c>
      <c r="D16" s="4" t="s">
        <v>32</v>
      </c>
      <c r="E16" s="4" t="s">
        <v>20</v>
      </c>
      <c r="F16" s="4" t="s">
        <v>21</v>
      </c>
      <c r="G16" s="4">
        <v>3</v>
      </c>
      <c r="H16" s="4">
        <v>55000</v>
      </c>
      <c r="I16" s="4">
        <v>0.15</v>
      </c>
      <c r="J16" s="4">
        <v>46750</v>
      </c>
      <c r="K16" s="4">
        <v>140250</v>
      </c>
      <c r="L16" s="4">
        <v>105801.31</v>
      </c>
      <c r="M16" s="4">
        <v>34448.69</v>
      </c>
      <c r="N16" s="4" t="s">
        <v>51</v>
      </c>
      <c r="O16" s="4" t="s">
        <v>23</v>
      </c>
      <c r="P16" s="4">
        <v>4</v>
      </c>
      <c r="Q16" s="6">
        <v>0.24562345811051695</v>
      </c>
    </row>
    <row r="17" spans="1:17" x14ac:dyDescent="0.3">
      <c r="A17" s="4" t="s">
        <v>63</v>
      </c>
      <c r="B17" s="5">
        <v>46127.681250000001</v>
      </c>
      <c r="C17" s="4" t="s">
        <v>64</v>
      </c>
      <c r="D17" s="4" t="s">
        <v>32</v>
      </c>
      <c r="E17" s="4" t="s">
        <v>20</v>
      </c>
      <c r="F17" s="4" t="s">
        <v>21</v>
      </c>
      <c r="G17" s="4">
        <v>1</v>
      </c>
      <c r="H17" s="4">
        <v>55000</v>
      </c>
      <c r="I17" s="4">
        <v>0</v>
      </c>
      <c r="J17" s="4">
        <v>55000</v>
      </c>
      <c r="K17" s="4">
        <v>55000</v>
      </c>
      <c r="L17" s="4">
        <v>40208.89</v>
      </c>
      <c r="M17" s="4">
        <v>14791.11</v>
      </c>
      <c r="N17" s="4" t="s">
        <v>39</v>
      </c>
      <c r="O17" s="4" t="s">
        <v>23</v>
      </c>
      <c r="P17" s="4">
        <v>4</v>
      </c>
      <c r="Q17" s="6">
        <v>0.26892927272727274</v>
      </c>
    </row>
    <row r="18" spans="1:17" x14ac:dyDescent="0.3">
      <c r="A18" s="4" t="s">
        <v>65</v>
      </c>
      <c r="B18" s="5">
        <v>46128.444444444445</v>
      </c>
      <c r="C18" s="4" t="s">
        <v>66</v>
      </c>
      <c r="D18" s="4" t="s">
        <v>19</v>
      </c>
      <c r="E18" s="4" t="s">
        <v>20</v>
      </c>
      <c r="F18" s="4" t="s">
        <v>21</v>
      </c>
      <c r="G18" s="4">
        <v>3</v>
      </c>
      <c r="H18" s="4">
        <v>15000</v>
      </c>
      <c r="I18" s="4">
        <v>0.05</v>
      </c>
      <c r="J18" s="4">
        <v>14250</v>
      </c>
      <c r="K18" s="4">
        <v>42750</v>
      </c>
      <c r="L18" s="4">
        <v>31465.81</v>
      </c>
      <c r="M18" s="4">
        <v>11284.19</v>
      </c>
      <c r="N18" s="4" t="s">
        <v>22</v>
      </c>
      <c r="O18" s="4" t="s">
        <v>23</v>
      </c>
      <c r="P18" s="4">
        <v>4</v>
      </c>
      <c r="Q18" s="6">
        <v>0.26395766081871347</v>
      </c>
    </row>
    <row r="19" spans="1:17" x14ac:dyDescent="0.3">
      <c r="A19" s="4" t="s">
        <v>67</v>
      </c>
      <c r="B19" s="5">
        <v>46129.772916666669</v>
      </c>
      <c r="C19" s="4" t="s">
        <v>57</v>
      </c>
      <c r="D19" s="4" t="s">
        <v>45</v>
      </c>
      <c r="E19" s="4" t="s">
        <v>27</v>
      </c>
      <c r="F19" s="4" t="s">
        <v>38</v>
      </c>
      <c r="G19" s="4">
        <v>1</v>
      </c>
      <c r="H19" s="4">
        <v>2200</v>
      </c>
      <c r="I19" s="4">
        <v>0</v>
      </c>
      <c r="J19" s="4">
        <v>2200</v>
      </c>
      <c r="K19" s="4">
        <v>2200</v>
      </c>
      <c r="L19" s="4">
        <v>1709.55</v>
      </c>
      <c r="M19" s="4">
        <v>490.45</v>
      </c>
      <c r="N19" s="4" t="s">
        <v>61</v>
      </c>
      <c r="O19" s="4" t="s">
        <v>23</v>
      </c>
      <c r="P19" s="4">
        <v>4</v>
      </c>
      <c r="Q19" s="6">
        <v>0.22293181818181818</v>
      </c>
    </row>
    <row r="20" spans="1:17" x14ac:dyDescent="0.3">
      <c r="A20" s="4" t="s">
        <v>68</v>
      </c>
      <c r="B20" s="5">
        <v>46130.675694444442</v>
      </c>
      <c r="C20" s="4" t="s">
        <v>69</v>
      </c>
      <c r="D20" s="4" t="s">
        <v>70</v>
      </c>
      <c r="E20" s="4" t="s">
        <v>20</v>
      </c>
      <c r="F20" s="4" t="s">
        <v>38</v>
      </c>
      <c r="G20" s="4">
        <v>3</v>
      </c>
      <c r="H20" s="4">
        <v>3500</v>
      </c>
      <c r="I20" s="4">
        <v>0.05</v>
      </c>
      <c r="J20" s="4">
        <v>3325</v>
      </c>
      <c r="K20" s="4">
        <v>9975</v>
      </c>
      <c r="L20" s="4">
        <v>7130.63</v>
      </c>
      <c r="M20" s="4">
        <v>2844.37</v>
      </c>
      <c r="N20" s="4" t="s">
        <v>22</v>
      </c>
      <c r="O20" s="4" t="s">
        <v>23</v>
      </c>
      <c r="P20" s="4">
        <v>4</v>
      </c>
      <c r="Q20" s="6">
        <v>0.28514987468671676</v>
      </c>
    </row>
    <row r="21" spans="1:17" x14ac:dyDescent="0.3">
      <c r="A21" s="4" t="s">
        <v>71</v>
      </c>
      <c r="B21" s="5">
        <v>46131.859722222223</v>
      </c>
      <c r="C21" s="4" t="s">
        <v>72</v>
      </c>
      <c r="D21" s="4" t="s">
        <v>32</v>
      </c>
      <c r="E21" s="4" t="s">
        <v>20</v>
      </c>
      <c r="F21" s="4" t="s">
        <v>21</v>
      </c>
      <c r="G21" s="4">
        <v>4</v>
      </c>
      <c r="H21" s="4">
        <v>55000</v>
      </c>
      <c r="I21" s="4">
        <v>0</v>
      </c>
      <c r="J21" s="4">
        <v>55000</v>
      </c>
      <c r="K21" s="4">
        <v>220000</v>
      </c>
      <c r="L21" s="4">
        <v>143484.09</v>
      </c>
      <c r="M21" s="4">
        <v>76515.91</v>
      </c>
      <c r="N21" s="4" t="s">
        <v>22</v>
      </c>
      <c r="O21" s="4" t="s">
        <v>23</v>
      </c>
      <c r="P21" s="4">
        <v>4</v>
      </c>
      <c r="Q21" s="6">
        <v>0.34779959090909091</v>
      </c>
    </row>
    <row r="22" spans="1:17" x14ac:dyDescent="0.3">
      <c r="A22" s="4" t="s">
        <v>73</v>
      </c>
      <c r="B22" s="5">
        <v>46132.769444444442</v>
      </c>
      <c r="C22" s="4" t="s">
        <v>74</v>
      </c>
      <c r="D22" s="4" t="s">
        <v>45</v>
      </c>
      <c r="E22" s="4" t="s">
        <v>27</v>
      </c>
      <c r="F22" s="4" t="s">
        <v>38</v>
      </c>
      <c r="G22" s="4">
        <v>4</v>
      </c>
      <c r="H22" s="4">
        <v>2200</v>
      </c>
      <c r="I22" s="4">
        <v>0.1</v>
      </c>
      <c r="J22" s="4">
        <v>1980</v>
      </c>
      <c r="K22" s="4">
        <v>7920</v>
      </c>
      <c r="L22" s="4">
        <v>5400.12</v>
      </c>
      <c r="M22" s="4">
        <v>2519.88</v>
      </c>
      <c r="N22" s="4" t="s">
        <v>61</v>
      </c>
      <c r="O22" s="4" t="s">
        <v>23</v>
      </c>
      <c r="P22" s="4">
        <v>4</v>
      </c>
      <c r="Q22" s="6">
        <v>0.31816666666666665</v>
      </c>
    </row>
    <row r="23" spans="1:17" x14ac:dyDescent="0.3">
      <c r="A23" s="4" t="s">
        <v>75</v>
      </c>
      <c r="B23" s="5">
        <v>46132.682638888888</v>
      </c>
      <c r="C23" s="4" t="s">
        <v>76</v>
      </c>
      <c r="D23" s="4" t="s">
        <v>19</v>
      </c>
      <c r="E23" s="4" t="s">
        <v>20</v>
      </c>
      <c r="F23" s="4" t="s">
        <v>33</v>
      </c>
      <c r="G23" s="4">
        <v>4</v>
      </c>
      <c r="H23" s="4">
        <v>15000</v>
      </c>
      <c r="I23" s="4">
        <v>0</v>
      </c>
      <c r="J23" s="4">
        <v>15000</v>
      </c>
      <c r="K23" s="4">
        <v>60000</v>
      </c>
      <c r="L23" s="4">
        <v>48896.85</v>
      </c>
      <c r="M23" s="4">
        <v>11103.15</v>
      </c>
      <c r="N23" s="4" t="s">
        <v>29</v>
      </c>
      <c r="O23" s="4" t="s">
        <v>23</v>
      </c>
      <c r="P23" s="4">
        <v>4</v>
      </c>
      <c r="Q23" s="6">
        <v>0.18505249999999998</v>
      </c>
    </row>
    <row r="24" spans="1:17" x14ac:dyDescent="0.3">
      <c r="A24" s="4" t="s">
        <v>77</v>
      </c>
      <c r="B24" s="5">
        <v>46133.737500000003</v>
      </c>
      <c r="C24" s="4" t="s">
        <v>78</v>
      </c>
      <c r="D24" s="4" t="s">
        <v>36</v>
      </c>
      <c r="E24" s="4" t="s">
        <v>37</v>
      </c>
      <c r="F24" s="4" t="s">
        <v>33</v>
      </c>
      <c r="G24" s="4">
        <v>2</v>
      </c>
      <c r="H24" s="4">
        <v>12000</v>
      </c>
      <c r="I24" s="4">
        <v>0</v>
      </c>
      <c r="J24" s="4">
        <v>12000</v>
      </c>
      <c r="K24" s="4">
        <v>24000</v>
      </c>
      <c r="L24" s="4">
        <v>16293.41</v>
      </c>
      <c r="M24" s="4">
        <v>7706.59</v>
      </c>
      <c r="N24" s="4" t="s">
        <v>22</v>
      </c>
      <c r="O24" s="4" t="s">
        <v>23</v>
      </c>
      <c r="P24" s="4">
        <v>4</v>
      </c>
      <c r="Q24" s="6">
        <v>0.32110791666666666</v>
      </c>
    </row>
    <row r="25" spans="1:17" x14ac:dyDescent="0.3">
      <c r="A25" s="4" t="s">
        <v>79</v>
      </c>
      <c r="B25" s="5">
        <v>46135.768055555556</v>
      </c>
      <c r="C25" s="4" t="s">
        <v>80</v>
      </c>
      <c r="D25" s="4" t="s">
        <v>70</v>
      </c>
      <c r="E25" s="4" t="s">
        <v>20</v>
      </c>
      <c r="F25" s="4" t="s">
        <v>33</v>
      </c>
      <c r="G25" s="4">
        <v>2</v>
      </c>
      <c r="H25" s="4">
        <v>3500</v>
      </c>
      <c r="I25" s="4">
        <v>0.15</v>
      </c>
      <c r="J25" s="4">
        <v>2975</v>
      </c>
      <c r="K25" s="4">
        <v>5950</v>
      </c>
      <c r="L25" s="4">
        <v>4014.16</v>
      </c>
      <c r="M25" s="4">
        <v>1935.84</v>
      </c>
      <c r="N25" s="4" t="s">
        <v>51</v>
      </c>
      <c r="O25" s="4" t="s">
        <v>23</v>
      </c>
      <c r="P25" s="4">
        <v>4</v>
      </c>
      <c r="Q25" s="6">
        <v>0.32535126050420166</v>
      </c>
    </row>
    <row r="26" spans="1:17" x14ac:dyDescent="0.3">
      <c r="A26" s="4" t="s">
        <v>81</v>
      </c>
      <c r="B26" s="5">
        <v>46136.396527777775</v>
      </c>
      <c r="C26" s="4" t="s">
        <v>82</v>
      </c>
      <c r="D26" s="4" t="s">
        <v>36</v>
      </c>
      <c r="E26" s="4" t="s">
        <v>37</v>
      </c>
      <c r="F26" s="4" t="s">
        <v>21</v>
      </c>
      <c r="G26" s="4">
        <v>2</v>
      </c>
      <c r="H26" s="4">
        <v>12000</v>
      </c>
      <c r="I26" s="4">
        <v>0.05</v>
      </c>
      <c r="J26" s="4">
        <v>11400</v>
      </c>
      <c r="K26" s="4">
        <v>22800</v>
      </c>
      <c r="L26" s="4">
        <v>14501.27</v>
      </c>
      <c r="M26" s="4">
        <v>8298.73</v>
      </c>
      <c r="N26" s="4" t="s">
        <v>61</v>
      </c>
      <c r="O26" s="4" t="s">
        <v>23</v>
      </c>
      <c r="P26" s="4">
        <v>4</v>
      </c>
      <c r="Q26" s="6">
        <v>0.36397938596491225</v>
      </c>
    </row>
    <row r="27" spans="1:17" x14ac:dyDescent="0.3">
      <c r="A27" s="4" t="s">
        <v>83</v>
      </c>
      <c r="B27" s="5">
        <v>46137.67083333333</v>
      </c>
      <c r="C27" s="4" t="s">
        <v>84</v>
      </c>
      <c r="D27" s="4" t="s">
        <v>42</v>
      </c>
      <c r="E27" s="4" t="s">
        <v>27</v>
      </c>
      <c r="F27" s="4" t="s">
        <v>33</v>
      </c>
      <c r="G27" s="4">
        <v>3</v>
      </c>
      <c r="H27" s="4">
        <v>1800</v>
      </c>
      <c r="I27" s="4">
        <v>0</v>
      </c>
      <c r="J27" s="4">
        <v>1800</v>
      </c>
      <c r="K27" s="4">
        <v>5400</v>
      </c>
      <c r="L27" s="4">
        <v>4279.4399999999996</v>
      </c>
      <c r="M27" s="4">
        <v>1120.56</v>
      </c>
      <c r="N27" s="4" t="s">
        <v>22</v>
      </c>
      <c r="O27" s="4" t="s">
        <v>23</v>
      </c>
      <c r="P27" s="4">
        <v>4</v>
      </c>
      <c r="Q27" s="6">
        <v>0.20751111111111109</v>
      </c>
    </row>
    <row r="28" spans="1:17" x14ac:dyDescent="0.3">
      <c r="A28" s="4" t="s">
        <v>85</v>
      </c>
      <c r="B28" s="5">
        <v>46137.402777777781</v>
      </c>
      <c r="C28" s="4" t="s">
        <v>86</v>
      </c>
      <c r="D28" s="4" t="s">
        <v>42</v>
      </c>
      <c r="E28" s="4" t="s">
        <v>27</v>
      </c>
      <c r="F28" s="4" t="s">
        <v>21</v>
      </c>
      <c r="G28" s="4">
        <v>3</v>
      </c>
      <c r="H28" s="4">
        <v>1800</v>
      </c>
      <c r="I28" s="4">
        <v>0.05</v>
      </c>
      <c r="J28" s="4">
        <v>1710</v>
      </c>
      <c r="K28" s="4">
        <v>5130</v>
      </c>
      <c r="L28" s="4">
        <v>3488.01</v>
      </c>
      <c r="M28" s="4">
        <v>1641.99</v>
      </c>
      <c r="N28" s="4" t="s">
        <v>39</v>
      </c>
      <c r="O28" s="4" t="s">
        <v>23</v>
      </c>
      <c r="P28" s="4">
        <v>4</v>
      </c>
      <c r="Q28" s="6">
        <v>0.32007602339181285</v>
      </c>
    </row>
    <row r="29" spans="1:17" x14ac:dyDescent="0.3">
      <c r="A29" s="4" t="s">
        <v>87</v>
      </c>
      <c r="B29" s="5">
        <v>46138.729166666664</v>
      </c>
      <c r="C29" s="4" t="s">
        <v>88</v>
      </c>
      <c r="D29" s="4" t="s">
        <v>50</v>
      </c>
      <c r="E29" s="4" t="s">
        <v>20</v>
      </c>
      <c r="F29" s="4" t="s">
        <v>33</v>
      </c>
      <c r="G29" s="4">
        <v>4</v>
      </c>
      <c r="H29" s="4">
        <v>11000</v>
      </c>
      <c r="I29" s="4">
        <v>0</v>
      </c>
      <c r="J29" s="4">
        <v>11000</v>
      </c>
      <c r="K29" s="4">
        <v>44000</v>
      </c>
      <c r="L29" s="4">
        <v>35856.11</v>
      </c>
      <c r="M29" s="4">
        <v>8143.89</v>
      </c>
      <c r="N29" s="4" t="s">
        <v>58</v>
      </c>
      <c r="O29" s="4" t="s">
        <v>23</v>
      </c>
      <c r="P29" s="4">
        <v>4</v>
      </c>
      <c r="Q29" s="6">
        <v>0.1850884090909091</v>
      </c>
    </row>
    <row r="30" spans="1:17" x14ac:dyDescent="0.3">
      <c r="A30" s="4" t="s">
        <v>89</v>
      </c>
      <c r="B30" s="5">
        <v>46138.511111111111</v>
      </c>
      <c r="C30" s="4" t="s">
        <v>55</v>
      </c>
      <c r="D30" s="4" t="s">
        <v>26</v>
      </c>
      <c r="E30" s="4" t="s">
        <v>27</v>
      </c>
      <c r="F30" s="4" t="s">
        <v>33</v>
      </c>
      <c r="G30" s="4">
        <v>1</v>
      </c>
      <c r="H30" s="4">
        <v>1200</v>
      </c>
      <c r="I30" s="4">
        <v>0.05</v>
      </c>
      <c r="J30" s="4">
        <v>1140</v>
      </c>
      <c r="K30" s="4">
        <v>1140</v>
      </c>
      <c r="L30" s="4">
        <v>862.11</v>
      </c>
      <c r="M30" s="4">
        <v>277.89</v>
      </c>
      <c r="N30" s="4" t="s">
        <v>29</v>
      </c>
      <c r="O30" s="4" t="s">
        <v>23</v>
      </c>
      <c r="P30" s="4">
        <v>4</v>
      </c>
      <c r="Q30" s="6">
        <v>0.24376315789473682</v>
      </c>
    </row>
    <row r="31" spans="1:17" x14ac:dyDescent="0.3">
      <c r="A31" s="4" t="s">
        <v>90</v>
      </c>
      <c r="B31" s="5">
        <v>46139.411111111112</v>
      </c>
      <c r="C31" s="4" t="s">
        <v>31</v>
      </c>
      <c r="D31" s="4" t="s">
        <v>36</v>
      </c>
      <c r="E31" s="4" t="s">
        <v>37</v>
      </c>
      <c r="F31" s="4" t="s">
        <v>21</v>
      </c>
      <c r="G31" s="4">
        <v>4</v>
      </c>
      <c r="H31" s="4">
        <v>12000</v>
      </c>
      <c r="I31" s="4">
        <v>0.05</v>
      </c>
      <c r="J31" s="4">
        <v>11400</v>
      </c>
      <c r="K31" s="4">
        <v>45600</v>
      </c>
      <c r="L31" s="4">
        <v>37200.699999999997</v>
      </c>
      <c r="M31" s="4">
        <v>8399.2999999999993</v>
      </c>
      <c r="N31" s="4" t="s">
        <v>39</v>
      </c>
      <c r="O31" s="4" t="s">
        <v>23</v>
      </c>
      <c r="P31" s="4">
        <v>4</v>
      </c>
      <c r="Q31" s="6">
        <v>0.18419517543859648</v>
      </c>
    </row>
    <row r="32" spans="1:17" x14ac:dyDescent="0.3">
      <c r="A32" s="4" t="s">
        <v>91</v>
      </c>
      <c r="B32" s="5">
        <v>46140.803472222222</v>
      </c>
      <c r="C32" s="4" t="s">
        <v>31</v>
      </c>
      <c r="D32" s="4" t="s">
        <v>92</v>
      </c>
      <c r="E32" s="4" t="s">
        <v>37</v>
      </c>
      <c r="F32" s="4" t="s">
        <v>38</v>
      </c>
      <c r="G32" s="4">
        <v>4</v>
      </c>
      <c r="H32" s="4">
        <v>8500</v>
      </c>
      <c r="I32" s="4">
        <v>0</v>
      </c>
      <c r="J32" s="4">
        <v>8500</v>
      </c>
      <c r="K32" s="4">
        <v>34000</v>
      </c>
      <c r="L32" s="4">
        <v>25010.01</v>
      </c>
      <c r="M32" s="4">
        <v>8989.99</v>
      </c>
      <c r="N32" s="4" t="s">
        <v>51</v>
      </c>
      <c r="O32" s="4" t="s">
        <v>23</v>
      </c>
      <c r="P32" s="4">
        <v>4</v>
      </c>
      <c r="Q32" s="6">
        <v>0.26441147058823528</v>
      </c>
    </row>
    <row r="33" spans="1:17" x14ac:dyDescent="0.3">
      <c r="A33" s="4" t="s">
        <v>93</v>
      </c>
      <c r="B33" s="5">
        <v>46141.436111111114</v>
      </c>
      <c r="C33" s="4" t="s">
        <v>18</v>
      </c>
      <c r="D33" s="4" t="s">
        <v>50</v>
      </c>
      <c r="E33" s="4" t="s">
        <v>20</v>
      </c>
      <c r="F33" s="4" t="s">
        <v>21</v>
      </c>
      <c r="G33" s="4">
        <v>3</v>
      </c>
      <c r="H33" s="4">
        <v>11000</v>
      </c>
      <c r="I33" s="4">
        <v>0.05</v>
      </c>
      <c r="J33" s="4">
        <v>10450</v>
      </c>
      <c r="K33" s="4">
        <v>31350</v>
      </c>
      <c r="L33" s="4">
        <v>25561.4</v>
      </c>
      <c r="M33" s="4">
        <v>5788.6</v>
      </c>
      <c r="N33" s="4" t="s">
        <v>39</v>
      </c>
      <c r="O33" s="4" t="s">
        <v>23</v>
      </c>
      <c r="P33" s="4">
        <v>4</v>
      </c>
      <c r="Q33" s="6">
        <v>0.18464433811802233</v>
      </c>
    </row>
    <row r="34" spans="1:17" x14ac:dyDescent="0.3">
      <c r="A34" s="4" t="s">
        <v>94</v>
      </c>
      <c r="B34" s="5">
        <v>46142.482638888891</v>
      </c>
      <c r="C34" s="4" t="s">
        <v>95</v>
      </c>
      <c r="D34" s="4" t="s">
        <v>26</v>
      </c>
      <c r="E34" s="4" t="s">
        <v>27</v>
      </c>
      <c r="F34" s="4" t="s">
        <v>33</v>
      </c>
      <c r="G34" s="4">
        <v>2</v>
      </c>
      <c r="H34" s="4">
        <v>1200</v>
      </c>
      <c r="I34" s="4">
        <v>0.05</v>
      </c>
      <c r="J34" s="4">
        <v>1140</v>
      </c>
      <c r="K34" s="4">
        <v>2280</v>
      </c>
      <c r="L34" s="4">
        <v>1673.07</v>
      </c>
      <c r="M34" s="4">
        <v>606.92999999999995</v>
      </c>
      <c r="N34" s="4" t="s">
        <v>58</v>
      </c>
      <c r="O34" s="4" t="s">
        <v>23</v>
      </c>
      <c r="P34" s="4">
        <v>4</v>
      </c>
      <c r="Q34" s="6">
        <v>0.26619736842105263</v>
      </c>
    </row>
    <row r="35" spans="1:17" x14ac:dyDescent="0.3">
      <c r="A35" s="4" t="s">
        <v>96</v>
      </c>
      <c r="B35" s="5">
        <v>46054.535416666666</v>
      </c>
      <c r="C35" s="4" t="s">
        <v>97</v>
      </c>
      <c r="D35" s="4" t="s">
        <v>32</v>
      </c>
      <c r="E35" s="4" t="s">
        <v>20</v>
      </c>
      <c r="F35" s="4" t="s">
        <v>21</v>
      </c>
      <c r="G35" s="4">
        <v>1</v>
      </c>
      <c r="H35" s="4">
        <v>55000</v>
      </c>
      <c r="I35" s="4">
        <v>0.05</v>
      </c>
      <c r="J35" s="4">
        <v>52250</v>
      </c>
      <c r="K35" s="4">
        <v>52250</v>
      </c>
      <c r="L35" s="4">
        <v>41425.11</v>
      </c>
      <c r="M35" s="4">
        <v>10824.89</v>
      </c>
      <c r="N35" s="4" t="s">
        <v>39</v>
      </c>
      <c r="O35" s="4" t="s">
        <v>98</v>
      </c>
      <c r="P35" s="4">
        <v>2</v>
      </c>
      <c r="Q35" s="6">
        <v>0.20717492822966507</v>
      </c>
    </row>
    <row r="36" spans="1:17" x14ac:dyDescent="0.3">
      <c r="A36" s="4" t="s">
        <v>99</v>
      </c>
      <c r="B36" s="5">
        <v>46055.402777777781</v>
      </c>
      <c r="C36" s="4" t="s">
        <v>100</v>
      </c>
      <c r="D36" s="4" t="s">
        <v>101</v>
      </c>
      <c r="E36" s="4" t="s">
        <v>20</v>
      </c>
      <c r="F36" s="4" t="s">
        <v>33</v>
      </c>
      <c r="G36" s="4">
        <v>2</v>
      </c>
      <c r="H36" s="4">
        <v>28000</v>
      </c>
      <c r="I36" s="4">
        <v>0.1</v>
      </c>
      <c r="J36" s="4">
        <v>25200</v>
      </c>
      <c r="K36" s="4">
        <v>50400</v>
      </c>
      <c r="L36" s="4">
        <v>32117.599999999999</v>
      </c>
      <c r="M36" s="4">
        <v>18282.400000000001</v>
      </c>
      <c r="N36" s="4" t="s">
        <v>58</v>
      </c>
      <c r="O36" s="4" t="s">
        <v>98</v>
      </c>
      <c r="P36" s="4">
        <v>2</v>
      </c>
      <c r="Q36" s="6">
        <v>0.36274603174603176</v>
      </c>
    </row>
    <row r="37" spans="1:17" x14ac:dyDescent="0.3">
      <c r="A37" s="4" t="s">
        <v>102</v>
      </c>
      <c r="B37" s="5">
        <v>46056.624305555553</v>
      </c>
      <c r="C37" s="4" t="s">
        <v>84</v>
      </c>
      <c r="D37" s="4" t="s">
        <v>45</v>
      </c>
      <c r="E37" s="4" t="s">
        <v>27</v>
      </c>
      <c r="F37" s="4" t="s">
        <v>38</v>
      </c>
      <c r="G37" s="4">
        <v>4</v>
      </c>
      <c r="H37" s="4">
        <v>2200</v>
      </c>
      <c r="I37" s="4">
        <v>0</v>
      </c>
      <c r="J37" s="4">
        <v>2200</v>
      </c>
      <c r="K37" s="4">
        <v>8800</v>
      </c>
      <c r="L37" s="4">
        <v>7086.04</v>
      </c>
      <c r="M37" s="4">
        <v>1713.96</v>
      </c>
      <c r="N37" s="4" t="s">
        <v>51</v>
      </c>
      <c r="O37" s="4" t="s">
        <v>98</v>
      </c>
      <c r="P37" s="4">
        <v>2</v>
      </c>
      <c r="Q37" s="6">
        <v>0.19476818181818181</v>
      </c>
    </row>
    <row r="38" spans="1:17" x14ac:dyDescent="0.3">
      <c r="A38" s="4" t="s">
        <v>103</v>
      </c>
      <c r="B38" s="5">
        <v>46057.622916666667</v>
      </c>
      <c r="C38" s="4" t="s">
        <v>41</v>
      </c>
      <c r="D38" s="4" t="s">
        <v>50</v>
      </c>
      <c r="E38" s="4" t="s">
        <v>20</v>
      </c>
      <c r="F38" s="4" t="s">
        <v>33</v>
      </c>
      <c r="G38" s="4">
        <v>3</v>
      </c>
      <c r="H38" s="4">
        <v>11000</v>
      </c>
      <c r="I38" s="4">
        <v>0.15</v>
      </c>
      <c r="J38" s="4">
        <v>9350</v>
      </c>
      <c r="K38" s="4">
        <v>28050</v>
      </c>
      <c r="L38" s="4">
        <v>18490.759999999998</v>
      </c>
      <c r="M38" s="4">
        <v>9559.24</v>
      </c>
      <c r="N38" s="4" t="s">
        <v>39</v>
      </c>
      <c r="O38" s="4" t="s">
        <v>98</v>
      </c>
      <c r="P38" s="4">
        <v>2</v>
      </c>
      <c r="Q38" s="6">
        <v>0.34079286987522278</v>
      </c>
    </row>
    <row r="39" spans="1:17" x14ac:dyDescent="0.3">
      <c r="A39" s="4" t="s">
        <v>104</v>
      </c>
      <c r="B39" s="5">
        <v>46059.798611111109</v>
      </c>
      <c r="C39" s="4" t="s">
        <v>105</v>
      </c>
      <c r="D39" s="4" t="s">
        <v>70</v>
      </c>
      <c r="E39" s="4" t="s">
        <v>20</v>
      </c>
      <c r="F39" s="4" t="s">
        <v>33</v>
      </c>
      <c r="G39" s="4">
        <v>1</v>
      </c>
      <c r="H39" s="4">
        <v>3500</v>
      </c>
      <c r="I39" s="4">
        <v>0.05</v>
      </c>
      <c r="J39" s="4">
        <v>3325</v>
      </c>
      <c r="K39" s="4">
        <v>3325</v>
      </c>
      <c r="L39" s="4">
        <v>2592.5700000000002</v>
      </c>
      <c r="M39" s="4">
        <v>732.43</v>
      </c>
      <c r="N39" s="4" t="s">
        <v>61</v>
      </c>
      <c r="O39" s="4" t="s">
        <v>98</v>
      </c>
      <c r="P39" s="4">
        <v>2</v>
      </c>
      <c r="Q39" s="6">
        <v>0.2202796992481203</v>
      </c>
    </row>
    <row r="40" spans="1:17" x14ac:dyDescent="0.3">
      <c r="A40" s="4" t="s">
        <v>106</v>
      </c>
      <c r="B40" s="5">
        <v>46061.415972222225</v>
      </c>
      <c r="C40" s="4" t="s">
        <v>107</v>
      </c>
      <c r="D40" s="4" t="s">
        <v>45</v>
      </c>
      <c r="E40" s="4" t="s">
        <v>27</v>
      </c>
      <c r="F40" s="4" t="s">
        <v>21</v>
      </c>
      <c r="G40" s="4">
        <v>5</v>
      </c>
      <c r="H40" s="4">
        <v>2200</v>
      </c>
      <c r="I40" s="4">
        <v>0</v>
      </c>
      <c r="J40" s="4">
        <v>2200</v>
      </c>
      <c r="K40" s="4">
        <v>11000</v>
      </c>
      <c r="L40" s="4">
        <v>8292.99</v>
      </c>
      <c r="M40" s="4">
        <v>2707.01</v>
      </c>
      <c r="N40" s="4" t="s">
        <v>22</v>
      </c>
      <c r="O40" s="4" t="s">
        <v>98</v>
      </c>
      <c r="P40" s="4">
        <v>2</v>
      </c>
      <c r="Q40" s="6">
        <v>0.24609181818181819</v>
      </c>
    </row>
    <row r="41" spans="1:17" x14ac:dyDescent="0.3">
      <c r="A41" s="4" t="s">
        <v>108</v>
      </c>
      <c r="B41" s="5">
        <v>46066.643750000003</v>
      </c>
      <c r="C41" s="4" t="s">
        <v>109</v>
      </c>
      <c r="D41" s="4" t="s">
        <v>92</v>
      </c>
      <c r="E41" s="4" t="s">
        <v>37</v>
      </c>
      <c r="F41" s="4" t="s">
        <v>38</v>
      </c>
      <c r="G41" s="4">
        <v>4</v>
      </c>
      <c r="H41" s="4">
        <v>8500</v>
      </c>
      <c r="I41" s="4">
        <v>0.05</v>
      </c>
      <c r="J41" s="4">
        <v>8075</v>
      </c>
      <c r="K41" s="4">
        <v>32300</v>
      </c>
      <c r="L41" s="4">
        <v>25307.78</v>
      </c>
      <c r="M41" s="4">
        <v>6992.22</v>
      </c>
      <c r="N41" s="4" t="s">
        <v>22</v>
      </c>
      <c r="O41" s="4" t="s">
        <v>98</v>
      </c>
      <c r="P41" s="4">
        <v>2</v>
      </c>
      <c r="Q41" s="6">
        <v>0.21647739938080496</v>
      </c>
    </row>
    <row r="42" spans="1:17" x14ac:dyDescent="0.3">
      <c r="A42" s="4" t="s">
        <v>110</v>
      </c>
      <c r="B42" s="5">
        <v>46068.577777777777</v>
      </c>
      <c r="C42" s="4" t="s">
        <v>18</v>
      </c>
      <c r="D42" s="4" t="s">
        <v>26</v>
      </c>
      <c r="E42" s="4" t="s">
        <v>27</v>
      </c>
      <c r="F42" s="4" t="s">
        <v>38</v>
      </c>
      <c r="G42" s="4">
        <v>3</v>
      </c>
      <c r="H42" s="4">
        <v>1200</v>
      </c>
      <c r="I42" s="4">
        <v>0.05</v>
      </c>
      <c r="J42" s="4">
        <v>1140</v>
      </c>
      <c r="K42" s="4">
        <v>3420</v>
      </c>
      <c r="L42" s="4">
        <v>2476.08</v>
      </c>
      <c r="M42" s="4">
        <v>943.92</v>
      </c>
      <c r="N42" s="4" t="s">
        <v>61</v>
      </c>
      <c r="O42" s="4" t="s">
        <v>98</v>
      </c>
      <c r="P42" s="4">
        <v>2</v>
      </c>
      <c r="Q42" s="6">
        <v>0.27599999999999997</v>
      </c>
    </row>
    <row r="43" spans="1:17" x14ac:dyDescent="0.3">
      <c r="A43" s="4" t="s">
        <v>111</v>
      </c>
      <c r="B43" s="5">
        <v>46069.43472222222</v>
      </c>
      <c r="C43" s="4" t="s">
        <v>57</v>
      </c>
      <c r="D43" s="4" t="s">
        <v>19</v>
      </c>
      <c r="E43" s="4" t="s">
        <v>20</v>
      </c>
      <c r="F43" s="4" t="s">
        <v>28</v>
      </c>
      <c r="G43" s="4">
        <v>4</v>
      </c>
      <c r="H43" s="4">
        <v>15000</v>
      </c>
      <c r="I43" s="4">
        <v>0.05</v>
      </c>
      <c r="J43" s="4">
        <v>14250</v>
      </c>
      <c r="K43" s="4">
        <v>57000</v>
      </c>
      <c r="L43" s="4">
        <v>43361.52</v>
      </c>
      <c r="M43" s="4">
        <v>13638.48</v>
      </c>
      <c r="N43" s="4" t="s">
        <v>29</v>
      </c>
      <c r="O43" s="4" t="s">
        <v>98</v>
      </c>
      <c r="P43" s="4">
        <v>2</v>
      </c>
      <c r="Q43" s="6">
        <v>0.23927157894736842</v>
      </c>
    </row>
    <row r="44" spans="1:17" x14ac:dyDescent="0.3">
      <c r="A44" s="4" t="s">
        <v>112</v>
      </c>
      <c r="B44" s="5">
        <v>46070.659722222219</v>
      </c>
      <c r="C44" s="4" t="s">
        <v>113</v>
      </c>
      <c r="D44" s="4" t="s">
        <v>50</v>
      </c>
      <c r="E44" s="4" t="s">
        <v>20</v>
      </c>
      <c r="F44" s="4" t="s">
        <v>38</v>
      </c>
      <c r="G44" s="4">
        <v>4</v>
      </c>
      <c r="H44" s="4">
        <v>11000</v>
      </c>
      <c r="I44" s="4">
        <v>0</v>
      </c>
      <c r="J44" s="4">
        <v>11000</v>
      </c>
      <c r="K44" s="4">
        <v>44000</v>
      </c>
      <c r="L44" s="4">
        <v>29555.62</v>
      </c>
      <c r="M44" s="4">
        <v>14444.38</v>
      </c>
      <c r="N44" s="4" t="s">
        <v>51</v>
      </c>
      <c r="O44" s="4" t="s">
        <v>98</v>
      </c>
      <c r="P44" s="4">
        <v>2</v>
      </c>
      <c r="Q44" s="6">
        <v>0.32828136363636362</v>
      </c>
    </row>
    <row r="45" spans="1:17" x14ac:dyDescent="0.3">
      <c r="A45" s="4" t="s">
        <v>114</v>
      </c>
      <c r="B45" s="5">
        <v>46072.477777777778</v>
      </c>
      <c r="C45" s="4" t="s">
        <v>115</v>
      </c>
      <c r="D45" s="4" t="s">
        <v>42</v>
      </c>
      <c r="E45" s="4" t="s">
        <v>27</v>
      </c>
      <c r="F45" s="4" t="s">
        <v>33</v>
      </c>
      <c r="G45" s="4">
        <v>5</v>
      </c>
      <c r="H45" s="4">
        <v>1800</v>
      </c>
      <c r="I45" s="4">
        <v>0.05</v>
      </c>
      <c r="J45" s="4">
        <v>1710</v>
      </c>
      <c r="K45" s="4">
        <v>8550</v>
      </c>
      <c r="L45" s="4">
        <v>6676.63</v>
      </c>
      <c r="M45" s="4">
        <v>1873.37</v>
      </c>
      <c r="N45" s="4" t="s">
        <v>51</v>
      </c>
      <c r="O45" s="4" t="s">
        <v>98</v>
      </c>
      <c r="P45" s="4">
        <v>2</v>
      </c>
      <c r="Q45" s="6">
        <v>0.21910760233918128</v>
      </c>
    </row>
    <row r="46" spans="1:17" x14ac:dyDescent="0.3">
      <c r="A46" s="4" t="s">
        <v>116</v>
      </c>
      <c r="B46" s="5">
        <v>46072.426388888889</v>
      </c>
      <c r="C46" s="4" t="s">
        <v>117</v>
      </c>
      <c r="D46" s="4" t="s">
        <v>50</v>
      </c>
      <c r="E46" s="4" t="s">
        <v>20</v>
      </c>
      <c r="F46" s="4" t="s">
        <v>38</v>
      </c>
      <c r="G46" s="4">
        <v>1</v>
      </c>
      <c r="H46" s="4">
        <v>11000</v>
      </c>
      <c r="I46" s="4">
        <v>0</v>
      </c>
      <c r="J46" s="4">
        <v>11000</v>
      </c>
      <c r="K46" s="4">
        <v>11000</v>
      </c>
      <c r="L46" s="4">
        <v>8454.11</v>
      </c>
      <c r="M46" s="4">
        <v>2545.89</v>
      </c>
      <c r="N46" s="4" t="s">
        <v>61</v>
      </c>
      <c r="O46" s="4" t="s">
        <v>98</v>
      </c>
      <c r="P46" s="4">
        <v>2</v>
      </c>
      <c r="Q46" s="6">
        <v>0.23144454545454543</v>
      </c>
    </row>
    <row r="47" spans="1:17" x14ac:dyDescent="0.3">
      <c r="A47" s="4" t="s">
        <v>118</v>
      </c>
      <c r="B47" s="5">
        <v>46072.774305555555</v>
      </c>
      <c r="C47" s="4" t="s">
        <v>74</v>
      </c>
      <c r="D47" s="4" t="s">
        <v>101</v>
      </c>
      <c r="E47" s="4" t="s">
        <v>20</v>
      </c>
      <c r="F47" s="4" t="s">
        <v>21</v>
      </c>
      <c r="G47" s="4">
        <v>2</v>
      </c>
      <c r="H47" s="4">
        <v>28000</v>
      </c>
      <c r="I47" s="4">
        <v>0.05</v>
      </c>
      <c r="J47" s="4">
        <v>26600</v>
      </c>
      <c r="K47" s="4">
        <v>53200</v>
      </c>
      <c r="L47" s="4">
        <v>36485.56</v>
      </c>
      <c r="M47" s="4">
        <v>16714.439999999999</v>
      </c>
      <c r="N47" s="4" t="s">
        <v>61</v>
      </c>
      <c r="O47" s="4" t="s">
        <v>98</v>
      </c>
      <c r="P47" s="4">
        <v>2</v>
      </c>
      <c r="Q47" s="6">
        <v>0.31418120300751878</v>
      </c>
    </row>
    <row r="48" spans="1:17" x14ac:dyDescent="0.3">
      <c r="A48" s="4" t="s">
        <v>119</v>
      </c>
      <c r="B48" s="5">
        <v>46074.76458333333</v>
      </c>
      <c r="C48" s="4" t="s">
        <v>72</v>
      </c>
      <c r="D48" s="4" t="s">
        <v>92</v>
      </c>
      <c r="E48" s="4" t="s">
        <v>37</v>
      </c>
      <c r="F48" s="4" t="s">
        <v>33</v>
      </c>
      <c r="G48" s="4">
        <v>5</v>
      </c>
      <c r="H48" s="4">
        <v>8500</v>
      </c>
      <c r="I48" s="4">
        <v>0</v>
      </c>
      <c r="J48" s="4">
        <v>8500</v>
      </c>
      <c r="K48" s="4">
        <v>42500</v>
      </c>
      <c r="L48" s="4">
        <v>31517.73</v>
      </c>
      <c r="M48" s="4">
        <v>10982.27</v>
      </c>
      <c r="N48" s="4" t="s">
        <v>58</v>
      </c>
      <c r="O48" s="4" t="s">
        <v>98</v>
      </c>
      <c r="P48" s="4">
        <v>2</v>
      </c>
      <c r="Q48" s="6">
        <v>0.25840635294117648</v>
      </c>
    </row>
    <row r="49" spans="1:17" x14ac:dyDescent="0.3">
      <c r="A49" s="4" t="s">
        <v>120</v>
      </c>
      <c r="B49" s="5">
        <v>46076.739583333336</v>
      </c>
      <c r="C49" s="4" t="s">
        <v>82</v>
      </c>
      <c r="D49" s="4" t="s">
        <v>70</v>
      </c>
      <c r="E49" s="4" t="s">
        <v>20</v>
      </c>
      <c r="F49" s="4" t="s">
        <v>21</v>
      </c>
      <c r="G49" s="4">
        <v>1</v>
      </c>
      <c r="H49" s="4">
        <v>3500</v>
      </c>
      <c r="I49" s="4">
        <v>0</v>
      </c>
      <c r="J49" s="4">
        <v>3500</v>
      </c>
      <c r="K49" s="4">
        <v>3500</v>
      </c>
      <c r="L49" s="4">
        <v>2840.92</v>
      </c>
      <c r="M49" s="4">
        <v>659.08</v>
      </c>
      <c r="N49" s="4" t="s">
        <v>22</v>
      </c>
      <c r="O49" s="4" t="s">
        <v>98</v>
      </c>
      <c r="P49" s="4">
        <v>2</v>
      </c>
      <c r="Q49" s="6">
        <v>0.18830857142857144</v>
      </c>
    </row>
    <row r="50" spans="1:17" x14ac:dyDescent="0.3">
      <c r="A50" s="4" t="s">
        <v>121</v>
      </c>
      <c r="B50" s="5">
        <v>46076.809027777781</v>
      </c>
      <c r="C50" s="4" t="s">
        <v>69</v>
      </c>
      <c r="D50" s="4" t="s">
        <v>42</v>
      </c>
      <c r="E50" s="4" t="s">
        <v>27</v>
      </c>
      <c r="F50" s="4" t="s">
        <v>38</v>
      </c>
      <c r="G50" s="4">
        <v>4</v>
      </c>
      <c r="H50" s="4">
        <v>1800</v>
      </c>
      <c r="I50" s="4">
        <v>0</v>
      </c>
      <c r="J50" s="4">
        <v>1800</v>
      </c>
      <c r="K50" s="4">
        <v>7200</v>
      </c>
      <c r="L50" s="4">
        <v>5737.83</v>
      </c>
      <c r="M50" s="4">
        <v>1462.17</v>
      </c>
      <c r="N50" s="4" t="s">
        <v>39</v>
      </c>
      <c r="O50" s="4" t="s">
        <v>98</v>
      </c>
      <c r="P50" s="4">
        <v>2</v>
      </c>
      <c r="Q50" s="6">
        <v>0.20307916666666667</v>
      </c>
    </row>
    <row r="51" spans="1:17" x14ac:dyDescent="0.3">
      <c r="A51" s="4" t="s">
        <v>122</v>
      </c>
      <c r="B51" s="5">
        <v>46077.620833333334</v>
      </c>
      <c r="C51" s="4" t="s">
        <v>123</v>
      </c>
      <c r="D51" s="4" t="s">
        <v>45</v>
      </c>
      <c r="E51" s="4" t="s">
        <v>27</v>
      </c>
      <c r="F51" s="4" t="s">
        <v>28</v>
      </c>
      <c r="G51" s="4">
        <v>2</v>
      </c>
      <c r="H51" s="4">
        <v>2200</v>
      </c>
      <c r="I51" s="4">
        <v>0.1</v>
      </c>
      <c r="J51" s="4">
        <v>1980</v>
      </c>
      <c r="K51" s="4">
        <v>3960</v>
      </c>
      <c r="L51" s="4">
        <v>3093.52</v>
      </c>
      <c r="M51" s="4">
        <v>866.48</v>
      </c>
      <c r="N51" s="4" t="s">
        <v>39</v>
      </c>
      <c r="O51" s="4" t="s">
        <v>98</v>
      </c>
      <c r="P51" s="4">
        <v>2</v>
      </c>
      <c r="Q51" s="6">
        <v>0.21880808080808081</v>
      </c>
    </row>
    <row r="52" spans="1:17" x14ac:dyDescent="0.3">
      <c r="A52" s="4" t="s">
        <v>124</v>
      </c>
      <c r="B52" s="5">
        <v>46077.855555555558</v>
      </c>
      <c r="C52" s="4" t="s">
        <v>117</v>
      </c>
      <c r="D52" s="4" t="s">
        <v>101</v>
      </c>
      <c r="E52" s="4" t="s">
        <v>20</v>
      </c>
      <c r="F52" s="4" t="s">
        <v>21</v>
      </c>
      <c r="G52" s="4">
        <v>3</v>
      </c>
      <c r="H52" s="4">
        <v>28000</v>
      </c>
      <c r="I52" s="4">
        <v>0.1</v>
      </c>
      <c r="J52" s="4">
        <v>25200</v>
      </c>
      <c r="K52" s="4">
        <v>75600</v>
      </c>
      <c r="L52" s="4">
        <v>53280.15</v>
      </c>
      <c r="M52" s="4">
        <v>22319.85</v>
      </c>
      <c r="N52" s="4" t="s">
        <v>39</v>
      </c>
      <c r="O52" s="4" t="s">
        <v>98</v>
      </c>
      <c r="P52" s="4">
        <v>2</v>
      </c>
      <c r="Q52" s="6">
        <v>0.29523611111111109</v>
      </c>
    </row>
    <row r="53" spans="1:17" x14ac:dyDescent="0.3">
      <c r="A53" s="4" t="s">
        <v>125</v>
      </c>
      <c r="B53" s="5">
        <v>46077.8</v>
      </c>
      <c r="C53" s="4" t="s">
        <v>126</v>
      </c>
      <c r="D53" s="4" t="s">
        <v>36</v>
      </c>
      <c r="E53" s="4" t="s">
        <v>37</v>
      </c>
      <c r="F53" s="4" t="s">
        <v>38</v>
      </c>
      <c r="G53" s="4">
        <v>4</v>
      </c>
      <c r="H53" s="4">
        <v>12000</v>
      </c>
      <c r="I53" s="4">
        <v>0</v>
      </c>
      <c r="J53" s="4">
        <v>12000</v>
      </c>
      <c r="K53" s="4">
        <v>48000</v>
      </c>
      <c r="L53" s="4">
        <v>31747.89</v>
      </c>
      <c r="M53" s="4">
        <v>16252.11</v>
      </c>
      <c r="N53" s="4" t="s">
        <v>58</v>
      </c>
      <c r="O53" s="4" t="s">
        <v>98</v>
      </c>
      <c r="P53" s="4">
        <v>2</v>
      </c>
      <c r="Q53" s="6">
        <v>0.338585625</v>
      </c>
    </row>
    <row r="54" spans="1:17" x14ac:dyDescent="0.3">
      <c r="A54" s="4" t="s">
        <v>127</v>
      </c>
      <c r="B54" s="5">
        <v>46078.409722222219</v>
      </c>
      <c r="C54" s="4" t="s">
        <v>107</v>
      </c>
      <c r="D54" s="4" t="s">
        <v>26</v>
      </c>
      <c r="E54" s="4" t="s">
        <v>27</v>
      </c>
      <c r="F54" s="4" t="s">
        <v>28</v>
      </c>
      <c r="G54" s="4">
        <v>2</v>
      </c>
      <c r="H54" s="4">
        <v>1200</v>
      </c>
      <c r="I54" s="4">
        <v>0</v>
      </c>
      <c r="J54" s="4">
        <v>1200</v>
      </c>
      <c r="K54" s="4">
        <v>2400</v>
      </c>
      <c r="L54" s="4">
        <v>1583.04</v>
      </c>
      <c r="M54" s="4">
        <v>816.96</v>
      </c>
      <c r="N54" s="4" t="s">
        <v>58</v>
      </c>
      <c r="O54" s="4" t="s">
        <v>98</v>
      </c>
      <c r="P54" s="4">
        <v>2</v>
      </c>
      <c r="Q54" s="6">
        <v>0.34040000000000004</v>
      </c>
    </row>
    <row r="55" spans="1:17" x14ac:dyDescent="0.3">
      <c r="A55" s="4" t="s">
        <v>128</v>
      </c>
      <c r="B55" s="5">
        <v>46078.707638888889</v>
      </c>
      <c r="C55" s="4" t="s">
        <v>129</v>
      </c>
      <c r="D55" s="4" t="s">
        <v>70</v>
      </c>
      <c r="E55" s="4" t="s">
        <v>20</v>
      </c>
      <c r="F55" s="4" t="s">
        <v>33</v>
      </c>
      <c r="G55" s="4">
        <v>3</v>
      </c>
      <c r="H55" s="4">
        <v>3500</v>
      </c>
      <c r="I55" s="4">
        <v>0.1</v>
      </c>
      <c r="J55" s="4">
        <v>3150</v>
      </c>
      <c r="K55" s="4">
        <v>9450</v>
      </c>
      <c r="L55" s="4">
        <v>7362.48</v>
      </c>
      <c r="M55" s="4">
        <v>2087.52</v>
      </c>
      <c r="N55" s="4" t="s">
        <v>58</v>
      </c>
      <c r="O55" s="4" t="s">
        <v>98</v>
      </c>
      <c r="P55" s="4">
        <v>2</v>
      </c>
      <c r="Q55" s="6">
        <v>0.22090158730158729</v>
      </c>
    </row>
    <row r="56" spans="1:17" x14ac:dyDescent="0.3">
      <c r="A56" s="4" t="s">
        <v>130</v>
      </c>
      <c r="B56" s="5">
        <v>46078.818749999999</v>
      </c>
      <c r="C56" s="4" t="s">
        <v>131</v>
      </c>
      <c r="D56" s="4" t="s">
        <v>19</v>
      </c>
      <c r="E56" s="4" t="s">
        <v>20</v>
      </c>
      <c r="F56" s="4" t="s">
        <v>28</v>
      </c>
      <c r="G56" s="4">
        <v>1</v>
      </c>
      <c r="H56" s="4">
        <v>15000</v>
      </c>
      <c r="I56" s="4">
        <v>0</v>
      </c>
      <c r="J56" s="4">
        <v>15000</v>
      </c>
      <c r="K56" s="4">
        <v>15000</v>
      </c>
      <c r="L56" s="4">
        <v>10463.299999999999</v>
      </c>
      <c r="M56" s="4">
        <v>4536.7</v>
      </c>
      <c r="N56" s="4" t="s">
        <v>39</v>
      </c>
      <c r="O56" s="4" t="s">
        <v>98</v>
      </c>
      <c r="P56" s="4">
        <v>2</v>
      </c>
      <c r="Q56" s="6">
        <v>0.30244666666666664</v>
      </c>
    </row>
    <row r="57" spans="1:17" x14ac:dyDescent="0.3">
      <c r="A57" s="4" t="s">
        <v>132</v>
      </c>
      <c r="B57" s="5">
        <v>46080.818749999999</v>
      </c>
      <c r="C57" s="4" t="s">
        <v>41</v>
      </c>
      <c r="D57" s="4" t="s">
        <v>101</v>
      </c>
      <c r="E57" s="4" t="s">
        <v>20</v>
      </c>
      <c r="F57" s="4" t="s">
        <v>21</v>
      </c>
      <c r="G57" s="4">
        <v>1</v>
      </c>
      <c r="H57" s="4">
        <v>28000</v>
      </c>
      <c r="I57" s="4">
        <v>0.15</v>
      </c>
      <c r="J57" s="4">
        <v>23800</v>
      </c>
      <c r="K57" s="4">
        <v>23800</v>
      </c>
      <c r="L57" s="4">
        <v>16637.82</v>
      </c>
      <c r="M57" s="4">
        <v>7162.18</v>
      </c>
      <c r="N57" s="4" t="s">
        <v>58</v>
      </c>
      <c r="O57" s="4" t="s">
        <v>98</v>
      </c>
      <c r="P57" s="4">
        <v>2</v>
      </c>
      <c r="Q57" s="6">
        <v>0.30093193277310926</v>
      </c>
    </row>
    <row r="58" spans="1:17" x14ac:dyDescent="0.3">
      <c r="A58" s="4" t="s">
        <v>133</v>
      </c>
      <c r="B58" s="5">
        <v>46081.565972222219</v>
      </c>
      <c r="C58" s="4" t="s">
        <v>134</v>
      </c>
      <c r="D58" s="4" t="s">
        <v>36</v>
      </c>
      <c r="E58" s="4" t="s">
        <v>37</v>
      </c>
      <c r="F58" s="4" t="s">
        <v>28</v>
      </c>
      <c r="G58" s="4">
        <v>5</v>
      </c>
      <c r="H58" s="4">
        <v>12000</v>
      </c>
      <c r="I58" s="4">
        <v>0.1</v>
      </c>
      <c r="J58" s="4">
        <v>10800</v>
      </c>
      <c r="K58" s="4">
        <v>54000</v>
      </c>
      <c r="L58" s="4">
        <v>37799.58</v>
      </c>
      <c r="M58" s="4">
        <v>16200.42</v>
      </c>
      <c r="N58" s="4" t="s">
        <v>51</v>
      </c>
      <c r="O58" s="4" t="s">
        <v>98</v>
      </c>
      <c r="P58" s="4">
        <v>2</v>
      </c>
      <c r="Q58" s="6">
        <v>0.30000777777777776</v>
      </c>
    </row>
    <row r="59" spans="1:17" x14ac:dyDescent="0.3">
      <c r="A59" s="4" t="s">
        <v>135</v>
      </c>
      <c r="B59" s="5">
        <v>46081.350694444445</v>
      </c>
      <c r="C59" s="4" t="s">
        <v>136</v>
      </c>
      <c r="D59" s="4" t="s">
        <v>70</v>
      </c>
      <c r="E59" s="4" t="s">
        <v>20</v>
      </c>
      <c r="F59" s="4" t="s">
        <v>28</v>
      </c>
      <c r="G59" s="4">
        <v>5</v>
      </c>
      <c r="H59" s="4">
        <v>3500</v>
      </c>
      <c r="I59" s="4">
        <v>0.15</v>
      </c>
      <c r="J59" s="4">
        <v>2975</v>
      </c>
      <c r="K59" s="4">
        <v>14875</v>
      </c>
      <c r="L59" s="4">
        <v>12055.71</v>
      </c>
      <c r="M59" s="4">
        <v>2819.29</v>
      </c>
      <c r="N59" s="4" t="s">
        <v>29</v>
      </c>
      <c r="O59" s="4" t="s">
        <v>98</v>
      </c>
      <c r="P59" s="4">
        <v>2</v>
      </c>
      <c r="Q59" s="6">
        <v>0.18953210084033614</v>
      </c>
    </row>
    <row r="60" spans="1:17" x14ac:dyDescent="0.3">
      <c r="A60" s="4" t="s">
        <v>137</v>
      </c>
      <c r="B60" s="5">
        <v>46025.796527777777</v>
      </c>
      <c r="C60" s="4" t="s">
        <v>138</v>
      </c>
      <c r="D60" s="4" t="s">
        <v>70</v>
      </c>
      <c r="E60" s="4" t="s">
        <v>20</v>
      </c>
      <c r="F60" s="4" t="s">
        <v>21</v>
      </c>
      <c r="G60" s="4">
        <v>5</v>
      </c>
      <c r="H60" s="4">
        <v>3500</v>
      </c>
      <c r="I60" s="4">
        <v>0.05</v>
      </c>
      <c r="J60" s="4">
        <v>3325</v>
      </c>
      <c r="K60" s="4">
        <v>16625</v>
      </c>
      <c r="L60" s="4">
        <v>13379.28</v>
      </c>
      <c r="M60" s="4">
        <v>3245.72</v>
      </c>
      <c r="N60" s="4" t="s">
        <v>51</v>
      </c>
      <c r="O60" s="4" t="s">
        <v>139</v>
      </c>
      <c r="P60" s="4">
        <v>1</v>
      </c>
      <c r="Q60" s="6">
        <v>0.19523127819548872</v>
      </c>
    </row>
    <row r="61" spans="1:17" x14ac:dyDescent="0.3">
      <c r="A61" s="4" t="s">
        <v>140</v>
      </c>
      <c r="B61" s="5">
        <v>46025.604166666664</v>
      </c>
      <c r="C61" s="4" t="s">
        <v>141</v>
      </c>
      <c r="D61" s="4" t="s">
        <v>19</v>
      </c>
      <c r="E61" s="4" t="s">
        <v>20</v>
      </c>
      <c r="F61" s="4" t="s">
        <v>21</v>
      </c>
      <c r="G61" s="4">
        <v>2</v>
      </c>
      <c r="H61" s="4">
        <v>15000</v>
      </c>
      <c r="I61" s="4">
        <v>0.1</v>
      </c>
      <c r="J61" s="4">
        <v>13500</v>
      </c>
      <c r="K61" s="4">
        <v>27000</v>
      </c>
      <c r="L61" s="4">
        <v>20203.96</v>
      </c>
      <c r="M61" s="4">
        <v>6796.04</v>
      </c>
      <c r="N61" s="4" t="s">
        <v>61</v>
      </c>
      <c r="O61" s="4" t="s">
        <v>139</v>
      </c>
      <c r="P61" s="4">
        <v>1</v>
      </c>
      <c r="Q61" s="6">
        <v>0.2517051851851852</v>
      </c>
    </row>
    <row r="62" spans="1:17" x14ac:dyDescent="0.3">
      <c r="A62" s="4" t="s">
        <v>142</v>
      </c>
      <c r="B62" s="5">
        <v>46027.509027777778</v>
      </c>
      <c r="C62" s="4" t="s">
        <v>49</v>
      </c>
      <c r="D62" s="4" t="s">
        <v>92</v>
      </c>
      <c r="E62" s="4" t="s">
        <v>37</v>
      </c>
      <c r="F62" s="4" t="s">
        <v>28</v>
      </c>
      <c r="G62" s="4">
        <v>2</v>
      </c>
      <c r="H62" s="4">
        <v>8500</v>
      </c>
      <c r="I62" s="4">
        <v>0.1</v>
      </c>
      <c r="J62" s="4">
        <v>7650</v>
      </c>
      <c r="K62" s="4">
        <v>15300</v>
      </c>
      <c r="L62" s="4">
        <v>10919.3</v>
      </c>
      <c r="M62" s="4">
        <v>4380.7</v>
      </c>
      <c r="N62" s="4" t="s">
        <v>39</v>
      </c>
      <c r="O62" s="4" t="s">
        <v>139</v>
      </c>
      <c r="P62" s="4">
        <v>1</v>
      </c>
      <c r="Q62" s="6">
        <v>0.28632026143790851</v>
      </c>
    </row>
    <row r="63" spans="1:17" x14ac:dyDescent="0.3">
      <c r="A63" s="4" t="s">
        <v>143</v>
      </c>
      <c r="B63" s="5">
        <v>46031.500694444447</v>
      </c>
      <c r="C63" s="4" t="s">
        <v>134</v>
      </c>
      <c r="D63" s="4" t="s">
        <v>70</v>
      </c>
      <c r="E63" s="4" t="s">
        <v>20</v>
      </c>
      <c r="F63" s="4" t="s">
        <v>28</v>
      </c>
      <c r="G63" s="4">
        <v>3</v>
      </c>
      <c r="H63" s="4">
        <v>3500</v>
      </c>
      <c r="I63" s="4">
        <v>0.05</v>
      </c>
      <c r="J63" s="4">
        <v>3325</v>
      </c>
      <c r="K63" s="4">
        <v>9975</v>
      </c>
      <c r="L63" s="4">
        <v>6668.05</v>
      </c>
      <c r="M63" s="4">
        <v>3306.95</v>
      </c>
      <c r="N63" s="4" t="s">
        <v>22</v>
      </c>
      <c r="O63" s="4" t="s">
        <v>139</v>
      </c>
      <c r="P63" s="4">
        <v>1</v>
      </c>
      <c r="Q63" s="6">
        <v>0.3315238095238095</v>
      </c>
    </row>
    <row r="64" spans="1:17" x14ac:dyDescent="0.3">
      <c r="A64" s="4" t="s">
        <v>144</v>
      </c>
      <c r="B64" s="5">
        <v>46032.779166666667</v>
      </c>
      <c r="C64" s="4" t="s">
        <v>117</v>
      </c>
      <c r="D64" s="4" t="s">
        <v>19</v>
      </c>
      <c r="E64" s="4" t="s">
        <v>20</v>
      </c>
      <c r="F64" s="4" t="s">
        <v>21</v>
      </c>
      <c r="G64" s="4">
        <v>5</v>
      </c>
      <c r="H64" s="4">
        <v>15000</v>
      </c>
      <c r="I64" s="4">
        <v>0.1</v>
      </c>
      <c r="J64" s="4">
        <v>13500</v>
      </c>
      <c r="K64" s="4">
        <v>67500</v>
      </c>
      <c r="L64" s="4">
        <v>53215.05</v>
      </c>
      <c r="M64" s="4">
        <v>14284.95</v>
      </c>
      <c r="N64" s="4" t="s">
        <v>51</v>
      </c>
      <c r="O64" s="4" t="s">
        <v>139</v>
      </c>
      <c r="P64" s="4">
        <v>1</v>
      </c>
      <c r="Q64" s="6">
        <v>0.21162888888888889</v>
      </c>
    </row>
    <row r="65" spans="1:17" x14ac:dyDescent="0.3">
      <c r="A65" s="4" t="s">
        <v>145</v>
      </c>
      <c r="B65" s="5">
        <v>46033.513194444444</v>
      </c>
      <c r="C65" s="4" t="s">
        <v>35</v>
      </c>
      <c r="D65" s="4" t="s">
        <v>32</v>
      </c>
      <c r="E65" s="4" t="s">
        <v>20</v>
      </c>
      <c r="F65" s="4" t="s">
        <v>38</v>
      </c>
      <c r="G65" s="4">
        <v>4</v>
      </c>
      <c r="H65" s="4">
        <v>55000</v>
      </c>
      <c r="I65" s="4">
        <v>0.1</v>
      </c>
      <c r="J65" s="4">
        <v>49500</v>
      </c>
      <c r="K65" s="4">
        <v>198000</v>
      </c>
      <c r="L65" s="4">
        <v>125651.85</v>
      </c>
      <c r="M65" s="4">
        <v>72348.149999999994</v>
      </c>
      <c r="N65" s="4" t="s">
        <v>51</v>
      </c>
      <c r="O65" s="4" t="s">
        <v>139</v>
      </c>
      <c r="P65" s="4">
        <v>1</v>
      </c>
      <c r="Q65" s="6">
        <v>0.36539469696969695</v>
      </c>
    </row>
    <row r="66" spans="1:17" x14ac:dyDescent="0.3">
      <c r="A66" s="4" t="s">
        <v>146</v>
      </c>
      <c r="B66" s="5">
        <v>46036.633333333331</v>
      </c>
      <c r="C66" s="4" t="s">
        <v>147</v>
      </c>
      <c r="D66" s="4" t="s">
        <v>45</v>
      </c>
      <c r="E66" s="4" t="s">
        <v>27</v>
      </c>
      <c r="F66" s="4" t="s">
        <v>21</v>
      </c>
      <c r="G66" s="4">
        <v>4</v>
      </c>
      <c r="H66" s="4">
        <v>2200</v>
      </c>
      <c r="I66" s="4">
        <v>0</v>
      </c>
      <c r="J66" s="4">
        <v>2200</v>
      </c>
      <c r="K66" s="4">
        <v>8800</v>
      </c>
      <c r="L66" s="4">
        <v>6999.67</v>
      </c>
      <c r="M66" s="4">
        <v>1800.33</v>
      </c>
      <c r="N66" s="4" t="s">
        <v>51</v>
      </c>
      <c r="O66" s="4" t="s">
        <v>139</v>
      </c>
      <c r="P66" s="4">
        <v>1</v>
      </c>
      <c r="Q66" s="6">
        <v>0.20458295454545453</v>
      </c>
    </row>
    <row r="67" spans="1:17" x14ac:dyDescent="0.3">
      <c r="A67" s="4" t="s">
        <v>148</v>
      </c>
      <c r="B67" s="5">
        <v>46038.526388888888</v>
      </c>
      <c r="C67" s="4" t="s">
        <v>149</v>
      </c>
      <c r="D67" s="4" t="s">
        <v>50</v>
      </c>
      <c r="E67" s="4" t="s">
        <v>20</v>
      </c>
      <c r="F67" s="4" t="s">
        <v>28</v>
      </c>
      <c r="G67" s="4">
        <v>4</v>
      </c>
      <c r="H67" s="4">
        <v>11000</v>
      </c>
      <c r="I67" s="4">
        <v>0</v>
      </c>
      <c r="J67" s="4">
        <v>11000</v>
      </c>
      <c r="K67" s="4">
        <v>44000</v>
      </c>
      <c r="L67" s="4">
        <v>28778.61</v>
      </c>
      <c r="M67" s="4">
        <v>15221.39</v>
      </c>
      <c r="N67" s="4" t="s">
        <v>29</v>
      </c>
      <c r="O67" s="4" t="s">
        <v>139</v>
      </c>
      <c r="P67" s="4">
        <v>1</v>
      </c>
      <c r="Q67" s="6">
        <v>0.34594068181818183</v>
      </c>
    </row>
    <row r="68" spans="1:17" x14ac:dyDescent="0.3">
      <c r="A68" s="4" t="s">
        <v>150</v>
      </c>
      <c r="B68" s="5">
        <v>46038.367361111108</v>
      </c>
      <c r="C68" s="4" t="s">
        <v>123</v>
      </c>
      <c r="D68" s="4" t="s">
        <v>70</v>
      </c>
      <c r="E68" s="4" t="s">
        <v>20</v>
      </c>
      <c r="F68" s="4" t="s">
        <v>38</v>
      </c>
      <c r="G68" s="4">
        <v>5</v>
      </c>
      <c r="H68" s="4">
        <v>3500</v>
      </c>
      <c r="I68" s="4">
        <v>0.1</v>
      </c>
      <c r="J68" s="4">
        <v>3150</v>
      </c>
      <c r="K68" s="4">
        <v>15750</v>
      </c>
      <c r="L68" s="4">
        <v>11803.37</v>
      </c>
      <c r="M68" s="4">
        <v>3946.63</v>
      </c>
      <c r="N68" s="4" t="s">
        <v>39</v>
      </c>
      <c r="O68" s="4" t="s">
        <v>139</v>
      </c>
      <c r="P68" s="4">
        <v>1</v>
      </c>
      <c r="Q68" s="6">
        <v>0.25057968253968255</v>
      </c>
    </row>
    <row r="69" spans="1:17" x14ac:dyDescent="0.3">
      <c r="A69" s="4" t="s">
        <v>151</v>
      </c>
      <c r="B69" s="5">
        <v>46040.786805555559</v>
      </c>
      <c r="C69" s="4" t="s">
        <v>134</v>
      </c>
      <c r="D69" s="4" t="s">
        <v>45</v>
      </c>
      <c r="E69" s="4" t="s">
        <v>27</v>
      </c>
      <c r="F69" s="4" t="s">
        <v>38</v>
      </c>
      <c r="G69" s="4">
        <v>1</v>
      </c>
      <c r="H69" s="4">
        <v>2200</v>
      </c>
      <c r="I69" s="4">
        <v>0</v>
      </c>
      <c r="J69" s="4">
        <v>2200</v>
      </c>
      <c r="K69" s="4">
        <v>2200</v>
      </c>
      <c r="L69" s="4">
        <v>1743.54</v>
      </c>
      <c r="M69" s="4">
        <v>456.46</v>
      </c>
      <c r="N69" s="4" t="s">
        <v>29</v>
      </c>
      <c r="O69" s="4" t="s">
        <v>139</v>
      </c>
      <c r="P69" s="4">
        <v>1</v>
      </c>
      <c r="Q69" s="6">
        <v>0.20748181818181818</v>
      </c>
    </row>
    <row r="70" spans="1:17" x14ac:dyDescent="0.3">
      <c r="A70" s="4" t="s">
        <v>152</v>
      </c>
      <c r="B70" s="5">
        <v>46040.661805555559</v>
      </c>
      <c r="C70" s="4" t="s">
        <v>153</v>
      </c>
      <c r="D70" s="4" t="s">
        <v>45</v>
      </c>
      <c r="E70" s="4" t="s">
        <v>27</v>
      </c>
      <c r="F70" s="4" t="s">
        <v>38</v>
      </c>
      <c r="G70" s="4">
        <v>2</v>
      </c>
      <c r="H70" s="4">
        <v>2200</v>
      </c>
      <c r="I70" s="4">
        <v>0</v>
      </c>
      <c r="J70" s="4">
        <v>2200</v>
      </c>
      <c r="K70" s="4">
        <v>4400</v>
      </c>
      <c r="L70" s="4">
        <v>2867.57</v>
      </c>
      <c r="M70" s="4">
        <v>1532.43</v>
      </c>
      <c r="N70" s="4" t="s">
        <v>58</v>
      </c>
      <c r="O70" s="4" t="s">
        <v>139</v>
      </c>
      <c r="P70" s="4">
        <v>1</v>
      </c>
      <c r="Q70" s="6">
        <v>0.34827954545454548</v>
      </c>
    </row>
    <row r="71" spans="1:17" x14ac:dyDescent="0.3">
      <c r="A71" s="4" t="s">
        <v>154</v>
      </c>
      <c r="B71" s="5">
        <v>46041.623611111114</v>
      </c>
      <c r="C71" s="4" t="s">
        <v>155</v>
      </c>
      <c r="D71" s="4" t="s">
        <v>19</v>
      </c>
      <c r="E71" s="4" t="s">
        <v>20</v>
      </c>
      <c r="F71" s="4" t="s">
        <v>28</v>
      </c>
      <c r="G71" s="4">
        <v>5</v>
      </c>
      <c r="H71" s="4">
        <v>15000</v>
      </c>
      <c r="I71" s="4">
        <v>0</v>
      </c>
      <c r="J71" s="4">
        <v>15000</v>
      </c>
      <c r="K71" s="4">
        <v>75000</v>
      </c>
      <c r="L71" s="4">
        <v>50125.1</v>
      </c>
      <c r="M71" s="4">
        <v>24874.9</v>
      </c>
      <c r="N71" s="4" t="s">
        <v>39</v>
      </c>
      <c r="O71" s="4" t="s">
        <v>139</v>
      </c>
      <c r="P71" s="4">
        <v>1</v>
      </c>
      <c r="Q71" s="6">
        <v>0.33166533333333337</v>
      </c>
    </row>
    <row r="72" spans="1:17" x14ac:dyDescent="0.3">
      <c r="A72" s="4" t="s">
        <v>156</v>
      </c>
      <c r="B72" s="5">
        <v>46042.652083333334</v>
      </c>
      <c r="C72" s="4" t="s">
        <v>31</v>
      </c>
      <c r="D72" s="4" t="s">
        <v>19</v>
      </c>
      <c r="E72" s="4" t="s">
        <v>20</v>
      </c>
      <c r="F72" s="4" t="s">
        <v>33</v>
      </c>
      <c r="G72" s="4">
        <v>4</v>
      </c>
      <c r="H72" s="4">
        <v>15000</v>
      </c>
      <c r="I72" s="4">
        <v>0.05</v>
      </c>
      <c r="J72" s="4">
        <v>14250</v>
      </c>
      <c r="K72" s="4">
        <v>57000</v>
      </c>
      <c r="L72" s="4">
        <v>41486.82</v>
      </c>
      <c r="M72" s="4">
        <v>15513.18</v>
      </c>
      <c r="N72" s="4" t="s">
        <v>22</v>
      </c>
      <c r="O72" s="4" t="s">
        <v>139</v>
      </c>
      <c r="P72" s="4">
        <v>1</v>
      </c>
      <c r="Q72" s="6">
        <v>0.27216105263157897</v>
      </c>
    </row>
    <row r="73" spans="1:17" x14ac:dyDescent="0.3">
      <c r="A73" s="4" t="s">
        <v>157</v>
      </c>
      <c r="B73" s="5">
        <v>46043.770833333336</v>
      </c>
      <c r="C73" s="4" t="s">
        <v>55</v>
      </c>
      <c r="D73" s="4" t="s">
        <v>101</v>
      </c>
      <c r="E73" s="4" t="s">
        <v>20</v>
      </c>
      <c r="F73" s="4" t="s">
        <v>28</v>
      </c>
      <c r="G73" s="4">
        <v>2</v>
      </c>
      <c r="H73" s="4">
        <v>28000</v>
      </c>
      <c r="I73" s="4">
        <v>0.1</v>
      </c>
      <c r="J73" s="4">
        <v>25200</v>
      </c>
      <c r="K73" s="4">
        <v>50400</v>
      </c>
      <c r="L73" s="4">
        <v>34969.24</v>
      </c>
      <c r="M73" s="4">
        <v>15430.76</v>
      </c>
      <c r="N73" s="4" t="s">
        <v>22</v>
      </c>
      <c r="O73" s="4" t="s">
        <v>139</v>
      </c>
      <c r="P73" s="4">
        <v>1</v>
      </c>
      <c r="Q73" s="6">
        <v>0.306165873015873</v>
      </c>
    </row>
    <row r="74" spans="1:17" x14ac:dyDescent="0.3">
      <c r="A74" s="4" t="s">
        <v>158</v>
      </c>
      <c r="B74" s="5">
        <v>46045.384722222225</v>
      </c>
      <c r="C74" s="4" t="s">
        <v>86</v>
      </c>
      <c r="D74" s="4" t="s">
        <v>26</v>
      </c>
      <c r="E74" s="4" t="s">
        <v>27</v>
      </c>
      <c r="F74" s="4" t="s">
        <v>33</v>
      </c>
      <c r="G74" s="4">
        <v>3</v>
      </c>
      <c r="H74" s="4">
        <v>1200</v>
      </c>
      <c r="I74" s="4">
        <v>0.05</v>
      </c>
      <c r="J74" s="4">
        <v>1140</v>
      </c>
      <c r="K74" s="4">
        <v>3420</v>
      </c>
      <c r="L74" s="4">
        <v>2718.15</v>
      </c>
      <c r="M74" s="4">
        <v>701.85</v>
      </c>
      <c r="N74" s="4" t="s">
        <v>58</v>
      </c>
      <c r="O74" s="4" t="s">
        <v>139</v>
      </c>
      <c r="P74" s="4">
        <v>1</v>
      </c>
      <c r="Q74" s="6">
        <v>0.20521929824561405</v>
      </c>
    </row>
    <row r="75" spans="1:17" x14ac:dyDescent="0.3">
      <c r="A75" s="4" t="s">
        <v>159</v>
      </c>
      <c r="B75" s="5">
        <v>46046.6</v>
      </c>
      <c r="C75" s="4" t="s">
        <v>160</v>
      </c>
      <c r="D75" s="4" t="s">
        <v>19</v>
      </c>
      <c r="E75" s="4" t="s">
        <v>20</v>
      </c>
      <c r="F75" s="4" t="s">
        <v>33</v>
      </c>
      <c r="G75" s="4">
        <v>2</v>
      </c>
      <c r="H75" s="4">
        <v>15000</v>
      </c>
      <c r="I75" s="4">
        <v>0.1</v>
      </c>
      <c r="J75" s="4">
        <v>13500</v>
      </c>
      <c r="K75" s="4">
        <v>27000</v>
      </c>
      <c r="L75" s="4">
        <v>18801.060000000001</v>
      </c>
      <c r="M75" s="4">
        <v>8198.94</v>
      </c>
      <c r="N75" s="4" t="s">
        <v>29</v>
      </c>
      <c r="O75" s="4" t="s">
        <v>139</v>
      </c>
      <c r="P75" s="4">
        <v>1</v>
      </c>
      <c r="Q75" s="6">
        <v>0.30366444444444446</v>
      </c>
    </row>
    <row r="76" spans="1:17" x14ac:dyDescent="0.3">
      <c r="A76" s="4" t="s">
        <v>161</v>
      </c>
      <c r="B76" s="5">
        <v>46048.592361111114</v>
      </c>
      <c r="C76" s="4" t="s">
        <v>95</v>
      </c>
      <c r="D76" s="4" t="s">
        <v>101</v>
      </c>
      <c r="E76" s="4" t="s">
        <v>20</v>
      </c>
      <c r="F76" s="4" t="s">
        <v>28</v>
      </c>
      <c r="G76" s="4">
        <v>1</v>
      </c>
      <c r="H76" s="4">
        <v>28000</v>
      </c>
      <c r="I76" s="4">
        <v>0.05</v>
      </c>
      <c r="J76" s="4">
        <v>26600</v>
      </c>
      <c r="K76" s="4">
        <v>26600</v>
      </c>
      <c r="L76" s="4">
        <v>20883.580000000002</v>
      </c>
      <c r="M76" s="4">
        <v>5716.42</v>
      </c>
      <c r="N76" s="4" t="s">
        <v>29</v>
      </c>
      <c r="O76" s="4" t="s">
        <v>139</v>
      </c>
      <c r="P76" s="4">
        <v>1</v>
      </c>
      <c r="Q76" s="6">
        <v>0.21490300751879698</v>
      </c>
    </row>
    <row r="77" spans="1:17" x14ac:dyDescent="0.3">
      <c r="A77" s="4" t="s">
        <v>162</v>
      </c>
      <c r="B77" s="5">
        <v>46049.405555555553</v>
      </c>
      <c r="C77" s="4" t="s">
        <v>107</v>
      </c>
      <c r="D77" s="4" t="s">
        <v>92</v>
      </c>
      <c r="E77" s="4" t="s">
        <v>37</v>
      </c>
      <c r="F77" s="4" t="s">
        <v>33</v>
      </c>
      <c r="G77" s="4">
        <v>4</v>
      </c>
      <c r="H77" s="4">
        <v>8500</v>
      </c>
      <c r="I77" s="4">
        <v>0.1</v>
      </c>
      <c r="J77" s="4">
        <v>7650</v>
      </c>
      <c r="K77" s="4">
        <v>30600</v>
      </c>
      <c r="L77" s="4">
        <v>19337.02</v>
      </c>
      <c r="M77" s="4">
        <v>11262.98</v>
      </c>
      <c r="N77" s="4" t="s">
        <v>61</v>
      </c>
      <c r="O77" s="4" t="s">
        <v>139</v>
      </c>
      <c r="P77" s="4">
        <v>1</v>
      </c>
      <c r="Q77" s="6">
        <v>0.36807124183006534</v>
      </c>
    </row>
    <row r="78" spans="1:17" x14ac:dyDescent="0.3">
      <c r="A78" s="4" t="s">
        <v>163</v>
      </c>
      <c r="B78" s="5">
        <v>46050.474999999999</v>
      </c>
      <c r="C78" s="4" t="s">
        <v>164</v>
      </c>
      <c r="D78" s="4" t="s">
        <v>50</v>
      </c>
      <c r="E78" s="4" t="s">
        <v>20</v>
      </c>
      <c r="F78" s="4" t="s">
        <v>33</v>
      </c>
      <c r="G78" s="4">
        <v>2</v>
      </c>
      <c r="H78" s="4">
        <v>11000</v>
      </c>
      <c r="I78" s="4">
        <v>0</v>
      </c>
      <c r="J78" s="4">
        <v>11000</v>
      </c>
      <c r="K78" s="4">
        <v>22000</v>
      </c>
      <c r="L78" s="4">
        <v>17157.830000000002</v>
      </c>
      <c r="M78" s="4">
        <v>4842.17</v>
      </c>
      <c r="N78" s="4" t="s">
        <v>61</v>
      </c>
      <c r="O78" s="4" t="s">
        <v>139</v>
      </c>
      <c r="P78" s="4">
        <v>1</v>
      </c>
      <c r="Q78" s="6">
        <v>0.22009863636363636</v>
      </c>
    </row>
    <row r="79" spans="1:17" x14ac:dyDescent="0.3">
      <c r="A79" s="4" t="s">
        <v>165</v>
      </c>
      <c r="B79" s="5">
        <v>46051.520138888889</v>
      </c>
      <c r="C79" s="4" t="s">
        <v>166</v>
      </c>
      <c r="D79" s="4" t="s">
        <v>32</v>
      </c>
      <c r="E79" s="4" t="s">
        <v>20</v>
      </c>
      <c r="F79" s="4" t="s">
        <v>38</v>
      </c>
      <c r="G79" s="4">
        <v>1</v>
      </c>
      <c r="H79" s="4">
        <v>55000</v>
      </c>
      <c r="I79" s="4">
        <v>0</v>
      </c>
      <c r="J79" s="4">
        <v>55000</v>
      </c>
      <c r="K79" s="4">
        <v>55000</v>
      </c>
      <c r="L79" s="4">
        <v>42265.43</v>
      </c>
      <c r="M79" s="4">
        <v>12734.57</v>
      </c>
      <c r="N79" s="4" t="s">
        <v>61</v>
      </c>
      <c r="O79" s="4" t="s">
        <v>139</v>
      </c>
      <c r="P79" s="4">
        <v>1</v>
      </c>
      <c r="Q79" s="6">
        <v>0.23153763636363636</v>
      </c>
    </row>
    <row r="80" spans="1:17" x14ac:dyDescent="0.3">
      <c r="A80" s="4" t="s">
        <v>167</v>
      </c>
      <c r="B80" s="5">
        <v>46051.390277777777</v>
      </c>
      <c r="C80" s="4" t="s">
        <v>57</v>
      </c>
      <c r="D80" s="4" t="s">
        <v>42</v>
      </c>
      <c r="E80" s="4" t="s">
        <v>27</v>
      </c>
      <c r="F80" s="4" t="s">
        <v>33</v>
      </c>
      <c r="G80" s="4">
        <v>1</v>
      </c>
      <c r="H80" s="4">
        <v>1800</v>
      </c>
      <c r="I80" s="4">
        <v>0</v>
      </c>
      <c r="J80" s="4">
        <v>1800</v>
      </c>
      <c r="K80" s="4">
        <v>1800</v>
      </c>
      <c r="L80" s="4">
        <v>1382.38</v>
      </c>
      <c r="M80" s="4">
        <v>417.62</v>
      </c>
      <c r="N80" s="4" t="s">
        <v>58</v>
      </c>
      <c r="O80" s="4" t="s">
        <v>139</v>
      </c>
      <c r="P80" s="4">
        <v>1</v>
      </c>
      <c r="Q80" s="6">
        <v>0.23201111111111111</v>
      </c>
    </row>
    <row r="81" spans="1:17" x14ac:dyDescent="0.3">
      <c r="A81" s="4" t="s">
        <v>168</v>
      </c>
      <c r="B81" s="5">
        <v>46053.395138888889</v>
      </c>
      <c r="C81" s="4" t="s">
        <v>169</v>
      </c>
      <c r="D81" s="4" t="s">
        <v>26</v>
      </c>
      <c r="E81" s="4" t="s">
        <v>27</v>
      </c>
      <c r="F81" s="4" t="s">
        <v>28</v>
      </c>
      <c r="G81" s="4">
        <v>5</v>
      </c>
      <c r="H81" s="4">
        <v>1200</v>
      </c>
      <c r="I81" s="4">
        <v>0.05</v>
      </c>
      <c r="J81" s="4">
        <v>1140</v>
      </c>
      <c r="K81" s="4">
        <v>5700</v>
      </c>
      <c r="L81" s="4">
        <v>3742.65</v>
      </c>
      <c r="M81" s="4">
        <v>1957.35</v>
      </c>
      <c r="N81" s="4" t="s">
        <v>58</v>
      </c>
      <c r="O81" s="4" t="s">
        <v>139</v>
      </c>
      <c r="P81" s="4">
        <v>1</v>
      </c>
      <c r="Q81" s="6">
        <v>0.34339473684210525</v>
      </c>
    </row>
    <row r="82" spans="1:17" x14ac:dyDescent="0.3">
      <c r="A82" s="4" t="s">
        <v>170</v>
      </c>
      <c r="B82" s="5">
        <v>46082.859722222223</v>
      </c>
      <c r="C82" s="4" t="s">
        <v>47</v>
      </c>
      <c r="D82" s="4" t="s">
        <v>101</v>
      </c>
      <c r="E82" s="4" t="s">
        <v>20</v>
      </c>
      <c r="F82" s="4" t="s">
        <v>21</v>
      </c>
      <c r="G82" s="4">
        <v>4</v>
      </c>
      <c r="H82" s="4">
        <v>28000</v>
      </c>
      <c r="I82" s="4">
        <v>0.05</v>
      </c>
      <c r="J82" s="4">
        <v>26600</v>
      </c>
      <c r="K82" s="4">
        <v>106400</v>
      </c>
      <c r="L82" s="4">
        <v>86362.45</v>
      </c>
      <c r="M82" s="4">
        <v>20037.55</v>
      </c>
      <c r="N82" s="4" t="s">
        <v>29</v>
      </c>
      <c r="O82" s="4" t="s">
        <v>171</v>
      </c>
      <c r="P82" s="4">
        <v>3</v>
      </c>
      <c r="Q82" s="6">
        <v>0.18832283834586466</v>
      </c>
    </row>
    <row r="83" spans="1:17" x14ac:dyDescent="0.3">
      <c r="A83" s="4" t="s">
        <v>172</v>
      </c>
      <c r="B83" s="5">
        <v>46083.489583333336</v>
      </c>
      <c r="C83" s="4" t="s">
        <v>136</v>
      </c>
      <c r="D83" s="4" t="s">
        <v>42</v>
      </c>
      <c r="E83" s="4" t="s">
        <v>27</v>
      </c>
      <c r="F83" s="4" t="s">
        <v>28</v>
      </c>
      <c r="G83" s="4">
        <v>4</v>
      </c>
      <c r="H83" s="4">
        <v>1800</v>
      </c>
      <c r="I83" s="4">
        <v>0.05</v>
      </c>
      <c r="J83" s="4">
        <v>1710</v>
      </c>
      <c r="K83" s="4">
        <v>6840</v>
      </c>
      <c r="L83" s="4">
        <v>4526.1099999999997</v>
      </c>
      <c r="M83" s="4">
        <v>2313.89</v>
      </c>
      <c r="N83" s="4" t="s">
        <v>58</v>
      </c>
      <c r="O83" s="4" t="s">
        <v>171</v>
      </c>
      <c r="P83" s="4">
        <v>3</v>
      </c>
      <c r="Q83" s="6">
        <v>0.33828801169590639</v>
      </c>
    </row>
    <row r="84" spans="1:17" x14ac:dyDescent="0.3">
      <c r="A84" s="4" t="s">
        <v>173</v>
      </c>
      <c r="B84" s="5">
        <v>46086.869444444441</v>
      </c>
      <c r="C84" s="4" t="s">
        <v>174</v>
      </c>
      <c r="D84" s="4" t="s">
        <v>32</v>
      </c>
      <c r="E84" s="4" t="s">
        <v>20</v>
      </c>
      <c r="F84" s="4" t="s">
        <v>33</v>
      </c>
      <c r="G84" s="4">
        <v>5</v>
      </c>
      <c r="H84" s="4">
        <v>55000</v>
      </c>
      <c r="I84" s="4">
        <v>0.05</v>
      </c>
      <c r="J84" s="4">
        <v>52250</v>
      </c>
      <c r="K84" s="4">
        <v>261250</v>
      </c>
      <c r="L84" s="4">
        <v>167423</v>
      </c>
      <c r="M84" s="4">
        <v>93827</v>
      </c>
      <c r="N84" s="4" t="s">
        <v>61</v>
      </c>
      <c r="O84" s="4" t="s">
        <v>171</v>
      </c>
      <c r="P84" s="4">
        <v>3</v>
      </c>
      <c r="Q84" s="6">
        <v>0.3591464114832536</v>
      </c>
    </row>
    <row r="85" spans="1:17" x14ac:dyDescent="0.3">
      <c r="A85" s="4" t="s">
        <v>175</v>
      </c>
      <c r="B85" s="5">
        <v>46088.666666666664</v>
      </c>
      <c r="C85" s="4" t="s">
        <v>164</v>
      </c>
      <c r="D85" s="4" t="s">
        <v>50</v>
      </c>
      <c r="E85" s="4" t="s">
        <v>20</v>
      </c>
      <c r="F85" s="4" t="s">
        <v>21</v>
      </c>
      <c r="G85" s="4">
        <v>2</v>
      </c>
      <c r="H85" s="4">
        <v>11000</v>
      </c>
      <c r="I85" s="4">
        <v>0.05</v>
      </c>
      <c r="J85" s="4">
        <v>10450</v>
      </c>
      <c r="K85" s="4">
        <v>20900</v>
      </c>
      <c r="L85" s="4">
        <v>13001.52</v>
      </c>
      <c r="M85" s="4">
        <v>7898.48</v>
      </c>
      <c r="N85" s="4" t="s">
        <v>29</v>
      </c>
      <c r="O85" s="4" t="s">
        <v>171</v>
      </c>
      <c r="P85" s="4">
        <v>3</v>
      </c>
      <c r="Q85" s="6">
        <v>0.37791770334928226</v>
      </c>
    </row>
    <row r="86" spans="1:17" x14ac:dyDescent="0.3">
      <c r="A86" s="4" t="s">
        <v>176</v>
      </c>
      <c r="B86" s="5">
        <v>46088.734027777777</v>
      </c>
      <c r="C86" s="4" t="s">
        <v>25</v>
      </c>
      <c r="D86" s="4" t="s">
        <v>42</v>
      </c>
      <c r="E86" s="4" t="s">
        <v>27</v>
      </c>
      <c r="F86" s="4" t="s">
        <v>33</v>
      </c>
      <c r="G86" s="4">
        <v>1</v>
      </c>
      <c r="H86" s="4">
        <v>1800</v>
      </c>
      <c r="I86" s="4">
        <v>0.1</v>
      </c>
      <c r="J86" s="4">
        <v>1620</v>
      </c>
      <c r="K86" s="4">
        <v>1620</v>
      </c>
      <c r="L86" s="4">
        <v>1059.71</v>
      </c>
      <c r="M86" s="4">
        <v>560.29</v>
      </c>
      <c r="N86" s="4" t="s">
        <v>61</v>
      </c>
      <c r="O86" s="4" t="s">
        <v>171</v>
      </c>
      <c r="P86" s="4">
        <v>3</v>
      </c>
      <c r="Q86" s="6">
        <v>0.34585802469135801</v>
      </c>
    </row>
    <row r="87" spans="1:17" x14ac:dyDescent="0.3">
      <c r="A87" s="4" t="s">
        <v>177</v>
      </c>
      <c r="B87" s="5">
        <v>46091.674305555556</v>
      </c>
      <c r="C87" s="4" t="s">
        <v>126</v>
      </c>
      <c r="D87" s="4" t="s">
        <v>50</v>
      </c>
      <c r="E87" s="4" t="s">
        <v>20</v>
      </c>
      <c r="F87" s="4" t="s">
        <v>38</v>
      </c>
      <c r="G87" s="4">
        <v>1</v>
      </c>
      <c r="H87" s="4">
        <v>11000</v>
      </c>
      <c r="I87" s="4">
        <v>0.1</v>
      </c>
      <c r="J87" s="4">
        <v>9900</v>
      </c>
      <c r="K87" s="4">
        <v>9900</v>
      </c>
      <c r="L87" s="4">
        <v>7389.03</v>
      </c>
      <c r="M87" s="4">
        <v>2510.9699999999998</v>
      </c>
      <c r="N87" s="4" t="s">
        <v>22</v>
      </c>
      <c r="O87" s="4" t="s">
        <v>171</v>
      </c>
      <c r="P87" s="4">
        <v>3</v>
      </c>
      <c r="Q87" s="6">
        <v>0.25363333333333332</v>
      </c>
    </row>
    <row r="88" spans="1:17" x14ac:dyDescent="0.3">
      <c r="A88" s="4" t="s">
        <v>178</v>
      </c>
      <c r="B88" s="5">
        <v>46093.541666666664</v>
      </c>
      <c r="C88" s="4" t="s">
        <v>179</v>
      </c>
      <c r="D88" s="4" t="s">
        <v>70</v>
      </c>
      <c r="E88" s="4" t="s">
        <v>20</v>
      </c>
      <c r="F88" s="4" t="s">
        <v>28</v>
      </c>
      <c r="G88" s="4">
        <v>1</v>
      </c>
      <c r="H88" s="4">
        <v>3500</v>
      </c>
      <c r="I88" s="4">
        <v>0</v>
      </c>
      <c r="J88" s="4">
        <v>3500</v>
      </c>
      <c r="K88" s="4">
        <v>3500</v>
      </c>
      <c r="L88" s="4">
        <v>2544</v>
      </c>
      <c r="M88" s="4">
        <v>956</v>
      </c>
      <c r="N88" s="4" t="s">
        <v>22</v>
      </c>
      <c r="O88" s="4" t="s">
        <v>171</v>
      </c>
      <c r="P88" s="4">
        <v>3</v>
      </c>
      <c r="Q88" s="6">
        <v>0.27314285714285713</v>
      </c>
    </row>
    <row r="89" spans="1:17" x14ac:dyDescent="0.3">
      <c r="A89" s="4" t="s">
        <v>180</v>
      </c>
      <c r="B89" s="5">
        <v>46093.474305555559</v>
      </c>
      <c r="C89" s="4" t="s">
        <v>86</v>
      </c>
      <c r="D89" s="4" t="s">
        <v>26</v>
      </c>
      <c r="E89" s="4" t="s">
        <v>27</v>
      </c>
      <c r="F89" s="4" t="s">
        <v>21</v>
      </c>
      <c r="G89" s="4">
        <v>5</v>
      </c>
      <c r="H89" s="4">
        <v>1200</v>
      </c>
      <c r="I89" s="4">
        <v>0</v>
      </c>
      <c r="J89" s="4">
        <v>1200</v>
      </c>
      <c r="K89" s="4">
        <v>6000</v>
      </c>
      <c r="L89" s="4">
        <v>3947.58</v>
      </c>
      <c r="M89" s="4">
        <v>2052.42</v>
      </c>
      <c r="N89" s="4" t="s">
        <v>39</v>
      </c>
      <c r="O89" s="4" t="s">
        <v>171</v>
      </c>
      <c r="P89" s="4">
        <v>3</v>
      </c>
      <c r="Q89" s="6">
        <v>0.34206999999999999</v>
      </c>
    </row>
    <row r="90" spans="1:17" x14ac:dyDescent="0.3">
      <c r="A90" s="4" t="s">
        <v>181</v>
      </c>
      <c r="B90" s="5">
        <v>46093.503472222219</v>
      </c>
      <c r="C90" s="4" t="s">
        <v>66</v>
      </c>
      <c r="D90" s="4" t="s">
        <v>36</v>
      </c>
      <c r="E90" s="4" t="s">
        <v>37</v>
      </c>
      <c r="F90" s="4" t="s">
        <v>38</v>
      </c>
      <c r="G90" s="4">
        <v>3</v>
      </c>
      <c r="H90" s="4">
        <v>12000</v>
      </c>
      <c r="I90" s="4">
        <v>0</v>
      </c>
      <c r="J90" s="4">
        <v>12000</v>
      </c>
      <c r="K90" s="4">
        <v>36000</v>
      </c>
      <c r="L90" s="4">
        <v>25340.28</v>
      </c>
      <c r="M90" s="4">
        <v>10659.72</v>
      </c>
      <c r="N90" s="4" t="s">
        <v>29</v>
      </c>
      <c r="O90" s="4" t="s">
        <v>171</v>
      </c>
      <c r="P90" s="4">
        <v>3</v>
      </c>
      <c r="Q90" s="6">
        <v>0.29610333333333333</v>
      </c>
    </row>
    <row r="91" spans="1:17" x14ac:dyDescent="0.3">
      <c r="A91" s="4" t="s">
        <v>182</v>
      </c>
      <c r="B91" s="5">
        <v>46095.59097222222</v>
      </c>
      <c r="C91" s="4" t="s">
        <v>100</v>
      </c>
      <c r="D91" s="4" t="s">
        <v>32</v>
      </c>
      <c r="E91" s="4" t="s">
        <v>20</v>
      </c>
      <c r="F91" s="4" t="s">
        <v>28</v>
      </c>
      <c r="G91" s="4">
        <v>2</v>
      </c>
      <c r="H91" s="4">
        <v>55000</v>
      </c>
      <c r="I91" s="4">
        <v>0.05</v>
      </c>
      <c r="J91" s="4">
        <v>52250</v>
      </c>
      <c r="K91" s="4">
        <v>104500</v>
      </c>
      <c r="L91" s="4">
        <v>82298.240000000005</v>
      </c>
      <c r="M91" s="4">
        <v>22201.759999999998</v>
      </c>
      <c r="N91" s="4" t="s">
        <v>58</v>
      </c>
      <c r="O91" s="4" t="s">
        <v>171</v>
      </c>
      <c r="P91" s="4">
        <v>3</v>
      </c>
      <c r="Q91" s="6">
        <v>0.21245703349282294</v>
      </c>
    </row>
    <row r="92" spans="1:17" x14ac:dyDescent="0.3">
      <c r="A92" s="4" t="s">
        <v>183</v>
      </c>
      <c r="B92" s="5">
        <v>46095.814583333333</v>
      </c>
      <c r="C92" s="4" t="s">
        <v>184</v>
      </c>
      <c r="D92" s="4" t="s">
        <v>45</v>
      </c>
      <c r="E92" s="4" t="s">
        <v>27</v>
      </c>
      <c r="F92" s="4" t="s">
        <v>38</v>
      </c>
      <c r="G92" s="4">
        <v>3</v>
      </c>
      <c r="H92" s="4">
        <v>2200</v>
      </c>
      <c r="I92" s="4">
        <v>0</v>
      </c>
      <c r="J92" s="4">
        <v>2200</v>
      </c>
      <c r="K92" s="4">
        <v>6600</v>
      </c>
      <c r="L92" s="4">
        <v>4143.45</v>
      </c>
      <c r="M92" s="4">
        <v>2456.5500000000002</v>
      </c>
      <c r="N92" s="4" t="s">
        <v>58</v>
      </c>
      <c r="O92" s="4" t="s">
        <v>171</v>
      </c>
      <c r="P92" s="4">
        <v>3</v>
      </c>
      <c r="Q92" s="6">
        <v>0.37220454545454545</v>
      </c>
    </row>
    <row r="93" spans="1:17" x14ac:dyDescent="0.3">
      <c r="A93" s="4" t="s">
        <v>185</v>
      </c>
      <c r="B93" s="5">
        <v>46096.474305555559</v>
      </c>
      <c r="C93" s="4" t="s">
        <v>95</v>
      </c>
      <c r="D93" s="4" t="s">
        <v>101</v>
      </c>
      <c r="E93" s="4" t="s">
        <v>20</v>
      </c>
      <c r="F93" s="4" t="s">
        <v>33</v>
      </c>
      <c r="G93" s="4">
        <v>5</v>
      </c>
      <c r="H93" s="4">
        <v>28000</v>
      </c>
      <c r="I93" s="4">
        <v>0.05</v>
      </c>
      <c r="J93" s="4">
        <v>26600</v>
      </c>
      <c r="K93" s="4">
        <v>133000</v>
      </c>
      <c r="L93" s="4">
        <v>84151.88</v>
      </c>
      <c r="M93" s="4">
        <v>48848.12</v>
      </c>
      <c r="N93" s="4" t="s">
        <v>22</v>
      </c>
      <c r="O93" s="4" t="s">
        <v>171</v>
      </c>
      <c r="P93" s="4">
        <v>3</v>
      </c>
      <c r="Q93" s="6">
        <v>0.36727909774436091</v>
      </c>
    </row>
    <row r="94" spans="1:17" x14ac:dyDescent="0.3">
      <c r="A94" s="4" t="s">
        <v>186</v>
      </c>
      <c r="B94" s="5">
        <v>46097.54791666667</v>
      </c>
      <c r="C94" s="4" t="s">
        <v>187</v>
      </c>
      <c r="D94" s="4" t="s">
        <v>42</v>
      </c>
      <c r="E94" s="4" t="s">
        <v>27</v>
      </c>
      <c r="F94" s="4" t="s">
        <v>28</v>
      </c>
      <c r="G94" s="4">
        <v>2</v>
      </c>
      <c r="H94" s="4">
        <v>1800</v>
      </c>
      <c r="I94" s="4">
        <v>0.05</v>
      </c>
      <c r="J94" s="4">
        <v>1710</v>
      </c>
      <c r="K94" s="4">
        <v>3420</v>
      </c>
      <c r="L94" s="4">
        <v>2668.85</v>
      </c>
      <c r="M94" s="4">
        <v>751.15</v>
      </c>
      <c r="N94" s="4" t="s">
        <v>58</v>
      </c>
      <c r="O94" s="4" t="s">
        <v>171</v>
      </c>
      <c r="P94" s="4">
        <v>3</v>
      </c>
      <c r="Q94" s="6">
        <v>0.2196345029239766</v>
      </c>
    </row>
    <row r="95" spans="1:17" x14ac:dyDescent="0.3">
      <c r="A95" s="4" t="s">
        <v>188</v>
      </c>
      <c r="B95" s="5">
        <v>46099.763194444444</v>
      </c>
      <c r="C95" s="4" t="s">
        <v>107</v>
      </c>
      <c r="D95" s="4" t="s">
        <v>36</v>
      </c>
      <c r="E95" s="4" t="s">
        <v>37</v>
      </c>
      <c r="F95" s="4" t="s">
        <v>33</v>
      </c>
      <c r="G95" s="4">
        <v>4</v>
      </c>
      <c r="H95" s="4">
        <v>12000</v>
      </c>
      <c r="I95" s="4">
        <v>0</v>
      </c>
      <c r="J95" s="4">
        <v>12000</v>
      </c>
      <c r="K95" s="4">
        <v>48000</v>
      </c>
      <c r="L95" s="4">
        <v>35197.81</v>
      </c>
      <c r="M95" s="4">
        <v>12802.19</v>
      </c>
      <c r="N95" s="4" t="s">
        <v>22</v>
      </c>
      <c r="O95" s="4" t="s">
        <v>171</v>
      </c>
      <c r="P95" s="4">
        <v>3</v>
      </c>
      <c r="Q95" s="6">
        <v>0.26671229166666666</v>
      </c>
    </row>
    <row r="96" spans="1:17" x14ac:dyDescent="0.3">
      <c r="A96" s="4" t="s">
        <v>189</v>
      </c>
      <c r="B96" s="5">
        <v>46099.454861111109</v>
      </c>
      <c r="C96" s="4" t="s">
        <v>117</v>
      </c>
      <c r="D96" s="4" t="s">
        <v>42</v>
      </c>
      <c r="E96" s="4" t="s">
        <v>27</v>
      </c>
      <c r="F96" s="4" t="s">
        <v>28</v>
      </c>
      <c r="G96" s="4">
        <v>4</v>
      </c>
      <c r="H96" s="4">
        <v>1800</v>
      </c>
      <c r="I96" s="4">
        <v>0.1</v>
      </c>
      <c r="J96" s="4">
        <v>1620</v>
      </c>
      <c r="K96" s="4">
        <v>6480</v>
      </c>
      <c r="L96" s="4">
        <v>4131.33</v>
      </c>
      <c r="M96" s="4">
        <v>2348.67</v>
      </c>
      <c r="N96" s="4" t="s">
        <v>22</v>
      </c>
      <c r="O96" s="4" t="s">
        <v>171</v>
      </c>
      <c r="P96" s="4">
        <v>3</v>
      </c>
      <c r="Q96" s="6">
        <v>0.36244907407407406</v>
      </c>
    </row>
    <row r="97" spans="1:17" x14ac:dyDescent="0.3">
      <c r="A97" s="4" t="s">
        <v>190</v>
      </c>
      <c r="B97" s="5">
        <v>46099.375</v>
      </c>
      <c r="C97" s="4" t="s">
        <v>47</v>
      </c>
      <c r="D97" s="4" t="s">
        <v>45</v>
      </c>
      <c r="E97" s="4" t="s">
        <v>27</v>
      </c>
      <c r="F97" s="4" t="s">
        <v>21</v>
      </c>
      <c r="G97" s="4">
        <v>4</v>
      </c>
      <c r="H97" s="4">
        <v>2200</v>
      </c>
      <c r="I97" s="4">
        <v>0</v>
      </c>
      <c r="J97" s="4">
        <v>2200</v>
      </c>
      <c r="K97" s="4">
        <v>8800</v>
      </c>
      <c r="L97" s="4">
        <v>5626.34</v>
      </c>
      <c r="M97" s="4">
        <v>3173.66</v>
      </c>
      <c r="N97" s="4" t="s">
        <v>51</v>
      </c>
      <c r="O97" s="4" t="s">
        <v>171</v>
      </c>
      <c r="P97" s="4">
        <v>3</v>
      </c>
      <c r="Q97" s="6">
        <v>0.36064318181818178</v>
      </c>
    </row>
    <row r="98" spans="1:17" x14ac:dyDescent="0.3">
      <c r="A98" s="4" t="s">
        <v>191</v>
      </c>
      <c r="B98" s="5">
        <v>46100.666666666664</v>
      </c>
      <c r="C98" s="4" t="s">
        <v>126</v>
      </c>
      <c r="D98" s="4" t="s">
        <v>26</v>
      </c>
      <c r="E98" s="4" t="s">
        <v>27</v>
      </c>
      <c r="F98" s="4" t="s">
        <v>33</v>
      </c>
      <c r="G98" s="4">
        <v>4</v>
      </c>
      <c r="H98" s="4">
        <v>1200</v>
      </c>
      <c r="I98" s="4">
        <v>0</v>
      </c>
      <c r="J98" s="4">
        <v>1200</v>
      </c>
      <c r="K98" s="4">
        <v>4800</v>
      </c>
      <c r="L98" s="4">
        <v>3114.77</v>
      </c>
      <c r="M98" s="4">
        <v>1685.23</v>
      </c>
      <c r="N98" s="4" t="s">
        <v>58</v>
      </c>
      <c r="O98" s="4" t="s">
        <v>171</v>
      </c>
      <c r="P98" s="4">
        <v>3</v>
      </c>
      <c r="Q98" s="6">
        <v>0.35108958333333334</v>
      </c>
    </row>
    <row r="99" spans="1:17" x14ac:dyDescent="0.3">
      <c r="A99" s="4" t="s">
        <v>192</v>
      </c>
      <c r="B99" s="5">
        <v>46102.806944444441</v>
      </c>
      <c r="C99" s="4" t="s">
        <v>193</v>
      </c>
      <c r="D99" s="4" t="s">
        <v>19</v>
      </c>
      <c r="E99" s="4" t="s">
        <v>20</v>
      </c>
      <c r="F99" s="4" t="s">
        <v>28</v>
      </c>
      <c r="G99" s="4">
        <v>3</v>
      </c>
      <c r="H99" s="4">
        <v>15000</v>
      </c>
      <c r="I99" s="4">
        <v>0</v>
      </c>
      <c r="J99" s="4">
        <v>15000</v>
      </c>
      <c r="K99" s="4">
        <v>45000</v>
      </c>
      <c r="L99" s="4">
        <v>30871.85</v>
      </c>
      <c r="M99" s="4">
        <v>14128.15</v>
      </c>
      <c r="N99" s="4" t="s">
        <v>58</v>
      </c>
      <c r="O99" s="4" t="s">
        <v>171</v>
      </c>
      <c r="P99" s="4">
        <v>3</v>
      </c>
      <c r="Q99" s="6">
        <v>0.3139588888888889</v>
      </c>
    </row>
    <row r="100" spans="1:17" x14ac:dyDescent="0.3">
      <c r="A100" s="4" t="s">
        <v>194</v>
      </c>
      <c r="B100" s="5">
        <v>46105.470833333333</v>
      </c>
      <c r="C100" s="4" t="s">
        <v>195</v>
      </c>
      <c r="D100" s="4" t="s">
        <v>32</v>
      </c>
      <c r="E100" s="4" t="s">
        <v>20</v>
      </c>
      <c r="F100" s="4" t="s">
        <v>38</v>
      </c>
      <c r="G100" s="4">
        <v>4</v>
      </c>
      <c r="H100" s="4">
        <v>55000</v>
      </c>
      <c r="I100" s="4">
        <v>0</v>
      </c>
      <c r="J100" s="4">
        <v>55000</v>
      </c>
      <c r="K100" s="4">
        <v>220000</v>
      </c>
      <c r="L100" s="4">
        <v>156473.42000000001</v>
      </c>
      <c r="M100" s="4">
        <v>63526.58</v>
      </c>
      <c r="N100" s="4" t="s">
        <v>39</v>
      </c>
      <c r="O100" s="4" t="s">
        <v>171</v>
      </c>
      <c r="P100" s="4">
        <v>3</v>
      </c>
      <c r="Q100" s="6">
        <v>0.28875718181818183</v>
      </c>
    </row>
    <row r="101" spans="1:17" x14ac:dyDescent="0.3">
      <c r="A101" s="4" t="s">
        <v>196</v>
      </c>
      <c r="B101" s="5">
        <v>46105.76458333333</v>
      </c>
      <c r="C101" s="4" t="s">
        <v>197</v>
      </c>
      <c r="D101" s="4" t="s">
        <v>70</v>
      </c>
      <c r="E101" s="4" t="s">
        <v>20</v>
      </c>
      <c r="F101" s="4" t="s">
        <v>38</v>
      </c>
      <c r="G101" s="4">
        <v>1</v>
      </c>
      <c r="H101" s="4">
        <v>3500</v>
      </c>
      <c r="I101" s="4">
        <v>0.15</v>
      </c>
      <c r="J101" s="4">
        <v>2975</v>
      </c>
      <c r="K101" s="4">
        <v>2975</v>
      </c>
      <c r="L101" s="4">
        <v>2109.98</v>
      </c>
      <c r="M101" s="4">
        <v>865.02</v>
      </c>
      <c r="N101" s="4" t="s">
        <v>39</v>
      </c>
      <c r="O101" s="4" t="s">
        <v>171</v>
      </c>
      <c r="P101" s="4">
        <v>3</v>
      </c>
      <c r="Q101" s="6">
        <v>0.29076302521008401</v>
      </c>
    </row>
    <row r="102" spans="1:17" x14ac:dyDescent="0.3">
      <c r="A102" s="4" t="s">
        <v>198</v>
      </c>
      <c r="B102" s="5">
        <v>46105.779166666667</v>
      </c>
      <c r="C102" s="4" t="s">
        <v>109</v>
      </c>
      <c r="D102" s="4" t="s">
        <v>92</v>
      </c>
      <c r="E102" s="4" t="s">
        <v>37</v>
      </c>
      <c r="F102" s="4" t="s">
        <v>33</v>
      </c>
      <c r="G102" s="4">
        <v>1</v>
      </c>
      <c r="H102" s="4">
        <v>8500</v>
      </c>
      <c r="I102" s="4">
        <v>0.1</v>
      </c>
      <c r="J102" s="4">
        <v>7650</v>
      </c>
      <c r="K102" s="4">
        <v>7650</v>
      </c>
      <c r="L102" s="4">
        <v>6152.53</v>
      </c>
      <c r="M102" s="4">
        <v>1497.47</v>
      </c>
      <c r="N102" s="4" t="s">
        <v>29</v>
      </c>
      <c r="O102" s="4" t="s">
        <v>171</v>
      </c>
      <c r="P102" s="4">
        <v>3</v>
      </c>
      <c r="Q102" s="6">
        <v>0.19574771241830066</v>
      </c>
    </row>
    <row r="103" spans="1:17" x14ac:dyDescent="0.3">
      <c r="A103" s="4" t="s">
        <v>199</v>
      </c>
      <c r="B103" s="5">
        <v>46107.441666666666</v>
      </c>
      <c r="C103" s="4" t="s">
        <v>200</v>
      </c>
      <c r="D103" s="4" t="s">
        <v>42</v>
      </c>
      <c r="E103" s="4" t="s">
        <v>27</v>
      </c>
      <c r="F103" s="4" t="s">
        <v>28</v>
      </c>
      <c r="G103" s="4">
        <v>3</v>
      </c>
      <c r="H103" s="4">
        <v>1800</v>
      </c>
      <c r="I103" s="4">
        <v>0.1</v>
      </c>
      <c r="J103" s="4">
        <v>1620</v>
      </c>
      <c r="K103" s="4">
        <v>4860</v>
      </c>
      <c r="L103" s="4">
        <v>3039.25</v>
      </c>
      <c r="M103" s="4">
        <v>1820.75</v>
      </c>
      <c r="N103" s="4" t="s">
        <v>39</v>
      </c>
      <c r="O103" s="4" t="s">
        <v>171</v>
      </c>
      <c r="P103" s="4">
        <v>3</v>
      </c>
      <c r="Q103" s="6">
        <v>0.37463991769547322</v>
      </c>
    </row>
    <row r="104" spans="1:17" x14ac:dyDescent="0.3">
      <c r="A104" s="4" t="s">
        <v>201</v>
      </c>
      <c r="B104" s="5">
        <v>46107.651388888888</v>
      </c>
      <c r="C104" s="4" t="s">
        <v>169</v>
      </c>
      <c r="D104" s="4" t="s">
        <v>42</v>
      </c>
      <c r="E104" s="4" t="s">
        <v>27</v>
      </c>
      <c r="F104" s="4" t="s">
        <v>33</v>
      </c>
      <c r="G104" s="4">
        <v>2</v>
      </c>
      <c r="H104" s="4">
        <v>1800</v>
      </c>
      <c r="I104" s="4">
        <v>0</v>
      </c>
      <c r="J104" s="4">
        <v>1800</v>
      </c>
      <c r="K104" s="4">
        <v>3600</v>
      </c>
      <c r="L104" s="4">
        <v>2692.67</v>
      </c>
      <c r="M104" s="4">
        <v>907.33</v>
      </c>
      <c r="N104" s="4" t="s">
        <v>51</v>
      </c>
      <c r="O104" s="4" t="s">
        <v>171</v>
      </c>
      <c r="P104" s="4">
        <v>3</v>
      </c>
      <c r="Q104" s="6">
        <v>0.25203611111111113</v>
      </c>
    </row>
    <row r="105" spans="1:17" x14ac:dyDescent="0.3">
      <c r="A105" s="4" t="s">
        <v>202</v>
      </c>
      <c r="B105" s="5">
        <v>46111.373611111114</v>
      </c>
      <c r="C105" s="4" t="s">
        <v>31</v>
      </c>
      <c r="D105" s="4" t="s">
        <v>92</v>
      </c>
      <c r="E105" s="4" t="s">
        <v>37</v>
      </c>
      <c r="F105" s="4" t="s">
        <v>38</v>
      </c>
      <c r="G105" s="4">
        <v>2</v>
      </c>
      <c r="H105" s="4">
        <v>8500</v>
      </c>
      <c r="I105" s="4">
        <v>0.1</v>
      </c>
      <c r="J105" s="4">
        <v>7650</v>
      </c>
      <c r="K105" s="4">
        <v>15300</v>
      </c>
      <c r="L105" s="4">
        <v>12097.4</v>
      </c>
      <c r="M105" s="4">
        <v>3202.6</v>
      </c>
      <c r="N105" s="4" t="s">
        <v>22</v>
      </c>
      <c r="O105" s="4" t="s">
        <v>171</v>
      </c>
      <c r="P105" s="4">
        <v>3</v>
      </c>
      <c r="Q105" s="6">
        <v>0.20932026143790849</v>
      </c>
    </row>
    <row r="106" spans="1:17" x14ac:dyDescent="0.3">
      <c r="A106" s="4" t="s">
        <v>203</v>
      </c>
      <c r="B106" s="5">
        <v>46112.729861111111</v>
      </c>
      <c r="C106" s="4" t="s">
        <v>131</v>
      </c>
      <c r="D106" s="4" t="s">
        <v>42</v>
      </c>
      <c r="E106" s="4" t="s">
        <v>27</v>
      </c>
      <c r="F106" s="4" t="s">
        <v>33</v>
      </c>
      <c r="G106" s="4">
        <v>5</v>
      </c>
      <c r="H106" s="4">
        <v>1800</v>
      </c>
      <c r="I106" s="4">
        <v>0.05</v>
      </c>
      <c r="J106" s="4">
        <v>1710</v>
      </c>
      <c r="K106" s="4">
        <v>8550</v>
      </c>
      <c r="L106" s="4">
        <v>5840.91</v>
      </c>
      <c r="M106" s="4">
        <v>2709.09</v>
      </c>
      <c r="N106" s="4" t="s">
        <v>61</v>
      </c>
      <c r="O106" s="4" t="s">
        <v>171</v>
      </c>
      <c r="P106" s="4">
        <v>3</v>
      </c>
      <c r="Q106" s="6">
        <v>0.31685263157894739</v>
      </c>
    </row>
    <row r="107" spans="1:17" x14ac:dyDescent="0.3">
      <c r="A107" s="4" t="s">
        <v>204</v>
      </c>
      <c r="B107" s="5">
        <v>46143.372916666667</v>
      </c>
      <c r="C107" s="4" t="s">
        <v>47</v>
      </c>
      <c r="D107" s="4" t="s">
        <v>45</v>
      </c>
      <c r="E107" s="4" t="s">
        <v>27</v>
      </c>
      <c r="F107" s="4" t="s">
        <v>38</v>
      </c>
      <c r="G107" s="4">
        <v>2</v>
      </c>
      <c r="H107" s="4">
        <v>2200</v>
      </c>
      <c r="I107" s="4">
        <v>0</v>
      </c>
      <c r="J107" s="4">
        <v>2200</v>
      </c>
      <c r="K107" s="4">
        <v>4400</v>
      </c>
      <c r="L107" s="4">
        <v>2767.93</v>
      </c>
      <c r="M107" s="4">
        <v>1632.07</v>
      </c>
      <c r="N107" s="4" t="s">
        <v>29</v>
      </c>
      <c r="O107" s="4" t="s">
        <v>205</v>
      </c>
      <c r="P107" s="4">
        <v>5</v>
      </c>
      <c r="Q107" s="6">
        <v>0.370925</v>
      </c>
    </row>
    <row r="108" spans="1:17" x14ac:dyDescent="0.3">
      <c r="A108" s="4" t="s">
        <v>206</v>
      </c>
      <c r="B108" s="5">
        <v>46144.461111111108</v>
      </c>
      <c r="C108" s="4" t="s">
        <v>207</v>
      </c>
      <c r="D108" s="4" t="s">
        <v>42</v>
      </c>
      <c r="E108" s="4" t="s">
        <v>27</v>
      </c>
      <c r="F108" s="4" t="s">
        <v>33</v>
      </c>
      <c r="G108" s="4">
        <v>3</v>
      </c>
      <c r="H108" s="4">
        <v>1800</v>
      </c>
      <c r="I108" s="4">
        <v>0</v>
      </c>
      <c r="J108" s="4">
        <v>1800</v>
      </c>
      <c r="K108" s="4">
        <v>5400</v>
      </c>
      <c r="L108" s="4">
        <v>3659.92</v>
      </c>
      <c r="M108" s="4">
        <v>1740.08</v>
      </c>
      <c r="N108" s="4" t="s">
        <v>51</v>
      </c>
      <c r="O108" s="4" t="s">
        <v>205</v>
      </c>
      <c r="P108" s="4">
        <v>5</v>
      </c>
      <c r="Q108" s="6">
        <v>0.32223703703703704</v>
      </c>
    </row>
    <row r="109" spans="1:17" x14ac:dyDescent="0.3">
      <c r="A109" s="4" t="s">
        <v>208</v>
      </c>
      <c r="B109" s="5">
        <v>46146.759722222225</v>
      </c>
      <c r="C109" s="4" t="s">
        <v>84</v>
      </c>
      <c r="D109" s="4" t="s">
        <v>19</v>
      </c>
      <c r="E109" s="4" t="s">
        <v>20</v>
      </c>
      <c r="F109" s="4" t="s">
        <v>38</v>
      </c>
      <c r="G109" s="4">
        <v>1</v>
      </c>
      <c r="H109" s="4">
        <v>15000</v>
      </c>
      <c r="I109" s="4">
        <v>0.15</v>
      </c>
      <c r="J109" s="4">
        <v>12750</v>
      </c>
      <c r="K109" s="4">
        <v>12750</v>
      </c>
      <c r="L109" s="4">
        <v>9115.9599999999991</v>
      </c>
      <c r="M109" s="4">
        <v>3634.04</v>
      </c>
      <c r="N109" s="4" t="s">
        <v>51</v>
      </c>
      <c r="O109" s="4" t="s">
        <v>205</v>
      </c>
      <c r="P109" s="4">
        <v>5</v>
      </c>
      <c r="Q109" s="6">
        <v>0.28502274509803921</v>
      </c>
    </row>
    <row r="110" spans="1:17" x14ac:dyDescent="0.3">
      <c r="A110" s="4" t="s">
        <v>209</v>
      </c>
      <c r="B110" s="5">
        <v>46146.854861111111</v>
      </c>
      <c r="C110" s="4" t="s">
        <v>88</v>
      </c>
      <c r="D110" s="4" t="s">
        <v>101</v>
      </c>
      <c r="E110" s="4" t="s">
        <v>20</v>
      </c>
      <c r="F110" s="4" t="s">
        <v>21</v>
      </c>
      <c r="G110" s="4">
        <v>2</v>
      </c>
      <c r="H110" s="4">
        <v>28000</v>
      </c>
      <c r="I110" s="4">
        <v>0</v>
      </c>
      <c r="J110" s="4">
        <v>28000</v>
      </c>
      <c r="K110" s="4">
        <v>56000</v>
      </c>
      <c r="L110" s="4">
        <v>34774.46</v>
      </c>
      <c r="M110" s="4">
        <v>21225.54</v>
      </c>
      <c r="N110" s="4" t="s">
        <v>39</v>
      </c>
      <c r="O110" s="4" t="s">
        <v>205</v>
      </c>
      <c r="P110" s="4">
        <v>5</v>
      </c>
      <c r="Q110" s="6">
        <v>0.37902750000000002</v>
      </c>
    </row>
    <row r="111" spans="1:17" x14ac:dyDescent="0.3">
      <c r="A111" s="4" t="s">
        <v>210</v>
      </c>
      <c r="B111" s="5">
        <v>46148.756249999999</v>
      </c>
      <c r="C111" s="4" t="s">
        <v>129</v>
      </c>
      <c r="D111" s="4" t="s">
        <v>50</v>
      </c>
      <c r="E111" s="4" t="s">
        <v>20</v>
      </c>
      <c r="F111" s="4" t="s">
        <v>21</v>
      </c>
      <c r="G111" s="4">
        <v>3</v>
      </c>
      <c r="H111" s="4">
        <v>11000</v>
      </c>
      <c r="I111" s="4">
        <v>0.1</v>
      </c>
      <c r="J111" s="4">
        <v>9900</v>
      </c>
      <c r="K111" s="4">
        <v>29700</v>
      </c>
      <c r="L111" s="4">
        <v>22988.43</v>
      </c>
      <c r="M111" s="4">
        <v>6711.57</v>
      </c>
      <c r="N111" s="4" t="s">
        <v>61</v>
      </c>
      <c r="O111" s="4" t="s">
        <v>205</v>
      </c>
      <c r="P111" s="4">
        <v>5</v>
      </c>
      <c r="Q111" s="6">
        <v>0.22597878787878786</v>
      </c>
    </row>
    <row r="112" spans="1:17" x14ac:dyDescent="0.3">
      <c r="A112" s="4" t="s">
        <v>211</v>
      </c>
      <c r="B112" s="5">
        <v>46150.647222222222</v>
      </c>
      <c r="C112" s="4" t="s">
        <v>141</v>
      </c>
      <c r="D112" s="4" t="s">
        <v>19</v>
      </c>
      <c r="E112" s="4" t="s">
        <v>20</v>
      </c>
      <c r="F112" s="4" t="s">
        <v>33</v>
      </c>
      <c r="G112" s="4">
        <v>3</v>
      </c>
      <c r="H112" s="4">
        <v>15000</v>
      </c>
      <c r="I112" s="4">
        <v>0</v>
      </c>
      <c r="J112" s="4">
        <v>15000</v>
      </c>
      <c r="K112" s="4">
        <v>45000</v>
      </c>
      <c r="L112" s="4">
        <v>29971.95</v>
      </c>
      <c r="M112" s="4">
        <v>15028.05</v>
      </c>
      <c r="N112" s="4" t="s">
        <v>39</v>
      </c>
      <c r="O112" s="4" t="s">
        <v>205</v>
      </c>
      <c r="P112" s="4">
        <v>5</v>
      </c>
      <c r="Q112" s="6">
        <v>0.33395666666666662</v>
      </c>
    </row>
    <row r="113" spans="1:17" x14ac:dyDescent="0.3">
      <c r="A113" s="4" t="s">
        <v>212</v>
      </c>
      <c r="B113" s="5">
        <v>46152.795138888891</v>
      </c>
      <c r="C113" s="4" t="s">
        <v>25</v>
      </c>
      <c r="D113" s="4" t="s">
        <v>19</v>
      </c>
      <c r="E113" s="4" t="s">
        <v>20</v>
      </c>
      <c r="F113" s="4" t="s">
        <v>38</v>
      </c>
      <c r="G113" s="4">
        <v>2</v>
      </c>
      <c r="H113" s="4">
        <v>15000</v>
      </c>
      <c r="I113" s="4">
        <v>0.15</v>
      </c>
      <c r="J113" s="4">
        <v>12750</v>
      </c>
      <c r="K113" s="4">
        <v>25500</v>
      </c>
      <c r="L113" s="4">
        <v>20400.52</v>
      </c>
      <c r="M113" s="4">
        <v>5099.4799999999996</v>
      </c>
      <c r="N113" s="4" t="s">
        <v>58</v>
      </c>
      <c r="O113" s="4" t="s">
        <v>205</v>
      </c>
      <c r="P113" s="4">
        <v>5</v>
      </c>
      <c r="Q113" s="6">
        <v>0.19997960784313723</v>
      </c>
    </row>
    <row r="114" spans="1:17" x14ac:dyDescent="0.3">
      <c r="A114" s="4" t="s">
        <v>213</v>
      </c>
      <c r="B114" s="5">
        <v>46153.615277777775</v>
      </c>
      <c r="C114" s="4" t="s">
        <v>214</v>
      </c>
      <c r="D114" s="4" t="s">
        <v>50</v>
      </c>
      <c r="E114" s="4" t="s">
        <v>20</v>
      </c>
      <c r="F114" s="4" t="s">
        <v>21</v>
      </c>
      <c r="G114" s="4">
        <v>1</v>
      </c>
      <c r="H114" s="4">
        <v>11000</v>
      </c>
      <c r="I114" s="4">
        <v>0.05</v>
      </c>
      <c r="J114" s="4">
        <v>10450</v>
      </c>
      <c r="K114" s="4">
        <v>10450</v>
      </c>
      <c r="L114" s="4">
        <v>7208.06</v>
      </c>
      <c r="M114" s="4">
        <v>3241.94</v>
      </c>
      <c r="N114" s="4" t="s">
        <v>29</v>
      </c>
      <c r="O114" s="4" t="s">
        <v>205</v>
      </c>
      <c r="P114" s="4">
        <v>5</v>
      </c>
      <c r="Q114" s="6">
        <v>0.31023349282296653</v>
      </c>
    </row>
    <row r="115" spans="1:17" x14ac:dyDescent="0.3">
      <c r="A115" s="4" t="s">
        <v>215</v>
      </c>
      <c r="B115" s="5">
        <v>46153.695138888892</v>
      </c>
      <c r="C115" s="4" t="s">
        <v>216</v>
      </c>
      <c r="D115" s="4" t="s">
        <v>32</v>
      </c>
      <c r="E115" s="4" t="s">
        <v>20</v>
      </c>
      <c r="F115" s="4" t="s">
        <v>21</v>
      </c>
      <c r="G115" s="4">
        <v>3</v>
      </c>
      <c r="H115" s="4">
        <v>55000</v>
      </c>
      <c r="I115" s="4">
        <v>0.1</v>
      </c>
      <c r="J115" s="4">
        <v>49500</v>
      </c>
      <c r="K115" s="4">
        <v>148500</v>
      </c>
      <c r="L115" s="4">
        <v>100637.73</v>
      </c>
      <c r="M115" s="4">
        <v>47862.27</v>
      </c>
      <c r="N115" s="4" t="s">
        <v>61</v>
      </c>
      <c r="O115" s="4" t="s">
        <v>205</v>
      </c>
      <c r="P115" s="4">
        <v>5</v>
      </c>
      <c r="Q115" s="6">
        <v>0.32230484848484847</v>
      </c>
    </row>
    <row r="116" spans="1:17" x14ac:dyDescent="0.3">
      <c r="A116" s="4" t="s">
        <v>217</v>
      </c>
      <c r="B116" s="5">
        <v>46154.463194444441</v>
      </c>
      <c r="C116" s="4" t="s">
        <v>18</v>
      </c>
      <c r="D116" s="4" t="s">
        <v>70</v>
      </c>
      <c r="E116" s="4" t="s">
        <v>20</v>
      </c>
      <c r="F116" s="4" t="s">
        <v>21</v>
      </c>
      <c r="G116" s="4">
        <v>3</v>
      </c>
      <c r="H116" s="4">
        <v>3500</v>
      </c>
      <c r="I116" s="4">
        <v>0</v>
      </c>
      <c r="J116" s="4">
        <v>3500</v>
      </c>
      <c r="K116" s="4">
        <v>10500</v>
      </c>
      <c r="L116" s="4">
        <v>7675.21</v>
      </c>
      <c r="M116" s="4">
        <v>2824.79</v>
      </c>
      <c r="N116" s="4" t="s">
        <v>29</v>
      </c>
      <c r="O116" s="4" t="s">
        <v>205</v>
      </c>
      <c r="P116" s="4">
        <v>5</v>
      </c>
      <c r="Q116" s="6">
        <v>0.26902761904761907</v>
      </c>
    </row>
    <row r="117" spans="1:17" x14ac:dyDescent="0.3">
      <c r="A117" s="4" t="s">
        <v>218</v>
      </c>
      <c r="B117" s="5">
        <v>46155.440972222219</v>
      </c>
      <c r="C117" s="4" t="s">
        <v>219</v>
      </c>
      <c r="D117" s="4" t="s">
        <v>26</v>
      </c>
      <c r="E117" s="4" t="s">
        <v>27</v>
      </c>
      <c r="F117" s="4" t="s">
        <v>38</v>
      </c>
      <c r="G117" s="4">
        <v>1</v>
      </c>
      <c r="H117" s="4">
        <v>1200</v>
      </c>
      <c r="I117" s="4">
        <v>0.1</v>
      </c>
      <c r="J117" s="4">
        <v>1080</v>
      </c>
      <c r="K117" s="4">
        <v>1080</v>
      </c>
      <c r="L117" s="4">
        <v>815.6</v>
      </c>
      <c r="M117" s="4">
        <v>264.39999999999998</v>
      </c>
      <c r="N117" s="4" t="s">
        <v>39</v>
      </c>
      <c r="O117" s="4" t="s">
        <v>205</v>
      </c>
      <c r="P117" s="4">
        <v>5</v>
      </c>
      <c r="Q117" s="6">
        <v>0.24481481481481479</v>
      </c>
    </row>
    <row r="118" spans="1:17" x14ac:dyDescent="0.3">
      <c r="A118" s="4" t="s">
        <v>220</v>
      </c>
      <c r="B118" s="5">
        <v>46156.708333333336</v>
      </c>
      <c r="C118" s="4" t="s">
        <v>160</v>
      </c>
      <c r="D118" s="4" t="s">
        <v>42</v>
      </c>
      <c r="E118" s="4" t="s">
        <v>27</v>
      </c>
      <c r="F118" s="4" t="s">
        <v>33</v>
      </c>
      <c r="G118" s="4">
        <v>5</v>
      </c>
      <c r="H118" s="4">
        <v>1800</v>
      </c>
      <c r="I118" s="4">
        <v>0</v>
      </c>
      <c r="J118" s="4">
        <v>1800</v>
      </c>
      <c r="K118" s="4">
        <v>9000</v>
      </c>
      <c r="L118" s="4">
        <v>5780.13</v>
      </c>
      <c r="M118" s="4">
        <v>3219.87</v>
      </c>
      <c r="N118" s="4" t="s">
        <v>61</v>
      </c>
      <c r="O118" s="4" t="s">
        <v>205</v>
      </c>
      <c r="P118" s="4">
        <v>5</v>
      </c>
      <c r="Q118" s="6">
        <v>0.35776333333333332</v>
      </c>
    </row>
    <row r="119" spans="1:17" x14ac:dyDescent="0.3">
      <c r="A119" s="4" t="s">
        <v>221</v>
      </c>
      <c r="B119" s="5">
        <v>46156.334722222222</v>
      </c>
      <c r="C119" s="4" t="s">
        <v>49</v>
      </c>
      <c r="D119" s="4" t="s">
        <v>32</v>
      </c>
      <c r="E119" s="4" t="s">
        <v>20</v>
      </c>
      <c r="F119" s="4" t="s">
        <v>33</v>
      </c>
      <c r="G119" s="4">
        <v>4</v>
      </c>
      <c r="H119" s="4">
        <v>55000</v>
      </c>
      <c r="I119" s="4">
        <v>0.05</v>
      </c>
      <c r="J119" s="4">
        <v>52250</v>
      </c>
      <c r="K119" s="4">
        <v>209000</v>
      </c>
      <c r="L119" s="4">
        <v>141232.09</v>
      </c>
      <c r="M119" s="4">
        <v>67767.91</v>
      </c>
      <c r="N119" s="4" t="s">
        <v>58</v>
      </c>
      <c r="O119" s="4" t="s">
        <v>205</v>
      </c>
      <c r="P119" s="4">
        <v>5</v>
      </c>
      <c r="Q119" s="6">
        <v>0.32424837320574162</v>
      </c>
    </row>
    <row r="120" spans="1:17" x14ac:dyDescent="0.3">
      <c r="A120" s="4" t="s">
        <v>222</v>
      </c>
      <c r="B120" s="5">
        <v>46157.647222222222</v>
      </c>
      <c r="C120" s="4" t="s">
        <v>47</v>
      </c>
      <c r="D120" s="4" t="s">
        <v>26</v>
      </c>
      <c r="E120" s="4" t="s">
        <v>27</v>
      </c>
      <c r="F120" s="4" t="s">
        <v>33</v>
      </c>
      <c r="G120" s="4">
        <v>5</v>
      </c>
      <c r="H120" s="4">
        <v>1200</v>
      </c>
      <c r="I120" s="4">
        <v>0</v>
      </c>
      <c r="J120" s="4">
        <v>1200</v>
      </c>
      <c r="K120" s="4">
        <v>6000</v>
      </c>
      <c r="L120" s="4">
        <v>3848.66</v>
      </c>
      <c r="M120" s="4">
        <v>2151.34</v>
      </c>
      <c r="N120" s="4" t="s">
        <v>61</v>
      </c>
      <c r="O120" s="4" t="s">
        <v>205</v>
      </c>
      <c r="P120" s="4">
        <v>5</v>
      </c>
      <c r="Q120" s="6">
        <v>0.35855666666666669</v>
      </c>
    </row>
    <row r="121" spans="1:17" x14ac:dyDescent="0.3">
      <c r="A121" s="4" t="s">
        <v>223</v>
      </c>
      <c r="B121" s="5">
        <v>46159.633333333331</v>
      </c>
      <c r="C121" s="4" t="s">
        <v>193</v>
      </c>
      <c r="D121" s="4" t="s">
        <v>32</v>
      </c>
      <c r="E121" s="4" t="s">
        <v>20</v>
      </c>
      <c r="F121" s="4" t="s">
        <v>38</v>
      </c>
      <c r="G121" s="4">
        <v>5</v>
      </c>
      <c r="H121" s="4">
        <v>55000</v>
      </c>
      <c r="I121" s="4">
        <v>0.15</v>
      </c>
      <c r="J121" s="4">
        <v>46750</v>
      </c>
      <c r="K121" s="4">
        <v>233750</v>
      </c>
      <c r="L121" s="4">
        <v>178117.72</v>
      </c>
      <c r="M121" s="4">
        <v>55632.28</v>
      </c>
      <c r="N121" s="4" t="s">
        <v>29</v>
      </c>
      <c r="O121" s="4" t="s">
        <v>205</v>
      </c>
      <c r="P121" s="4">
        <v>5</v>
      </c>
      <c r="Q121" s="6">
        <v>0.2379990588235294</v>
      </c>
    </row>
    <row r="122" spans="1:17" x14ac:dyDescent="0.3">
      <c r="A122" s="4" t="s">
        <v>224</v>
      </c>
      <c r="B122" s="5">
        <v>46160.505555555559</v>
      </c>
      <c r="C122" s="4" t="s">
        <v>225</v>
      </c>
      <c r="D122" s="4" t="s">
        <v>42</v>
      </c>
      <c r="E122" s="4" t="s">
        <v>27</v>
      </c>
      <c r="F122" s="4" t="s">
        <v>28</v>
      </c>
      <c r="G122" s="4">
        <v>5</v>
      </c>
      <c r="H122" s="4">
        <v>1800</v>
      </c>
      <c r="I122" s="4">
        <v>0</v>
      </c>
      <c r="J122" s="4">
        <v>1800</v>
      </c>
      <c r="K122" s="4">
        <v>9000</v>
      </c>
      <c r="L122" s="4">
        <v>6487.26</v>
      </c>
      <c r="M122" s="4">
        <v>2512.7399999999998</v>
      </c>
      <c r="N122" s="4" t="s">
        <v>22</v>
      </c>
      <c r="O122" s="4" t="s">
        <v>205</v>
      </c>
      <c r="P122" s="4">
        <v>5</v>
      </c>
      <c r="Q122" s="6">
        <v>0.27919333333333329</v>
      </c>
    </row>
    <row r="123" spans="1:17" x14ac:dyDescent="0.3">
      <c r="A123" s="4" t="s">
        <v>226</v>
      </c>
      <c r="B123" s="5">
        <v>46161.824999999997</v>
      </c>
      <c r="C123" s="4" t="s">
        <v>80</v>
      </c>
      <c r="D123" s="4" t="s">
        <v>101</v>
      </c>
      <c r="E123" s="4" t="s">
        <v>20</v>
      </c>
      <c r="F123" s="4" t="s">
        <v>28</v>
      </c>
      <c r="G123" s="4">
        <v>1</v>
      </c>
      <c r="H123" s="4">
        <v>28000</v>
      </c>
      <c r="I123" s="4">
        <v>0</v>
      </c>
      <c r="J123" s="4">
        <v>28000</v>
      </c>
      <c r="K123" s="4">
        <v>28000</v>
      </c>
      <c r="L123" s="4">
        <v>19954.34</v>
      </c>
      <c r="M123" s="4">
        <v>8045.66</v>
      </c>
      <c r="N123" s="4" t="s">
        <v>51</v>
      </c>
      <c r="O123" s="4" t="s">
        <v>205</v>
      </c>
      <c r="P123" s="4">
        <v>5</v>
      </c>
      <c r="Q123" s="6">
        <v>0.28734500000000002</v>
      </c>
    </row>
    <row r="124" spans="1:17" x14ac:dyDescent="0.3">
      <c r="A124" s="4" t="s">
        <v>227</v>
      </c>
      <c r="B124" s="5">
        <v>46164.446527777778</v>
      </c>
      <c r="C124" s="4" t="s">
        <v>160</v>
      </c>
      <c r="D124" s="4" t="s">
        <v>42</v>
      </c>
      <c r="E124" s="4" t="s">
        <v>27</v>
      </c>
      <c r="F124" s="4" t="s">
        <v>38</v>
      </c>
      <c r="G124" s="4">
        <v>4</v>
      </c>
      <c r="H124" s="4">
        <v>1800</v>
      </c>
      <c r="I124" s="4">
        <v>0.05</v>
      </c>
      <c r="J124" s="4">
        <v>1710</v>
      </c>
      <c r="K124" s="4">
        <v>6840</v>
      </c>
      <c r="L124" s="4">
        <v>5185.6499999999996</v>
      </c>
      <c r="M124" s="4">
        <v>1654.35</v>
      </c>
      <c r="N124" s="4" t="s">
        <v>51</v>
      </c>
      <c r="O124" s="4" t="s">
        <v>205</v>
      </c>
      <c r="P124" s="4">
        <v>5</v>
      </c>
      <c r="Q124" s="6">
        <v>0.24186403508771928</v>
      </c>
    </row>
    <row r="125" spans="1:17" x14ac:dyDescent="0.3">
      <c r="A125" s="4" t="s">
        <v>228</v>
      </c>
      <c r="B125" s="5">
        <v>46164.560416666667</v>
      </c>
      <c r="C125" s="4" t="s">
        <v>57</v>
      </c>
      <c r="D125" s="4" t="s">
        <v>32</v>
      </c>
      <c r="E125" s="4" t="s">
        <v>20</v>
      </c>
      <c r="F125" s="4" t="s">
        <v>28</v>
      </c>
      <c r="G125" s="4">
        <v>2</v>
      </c>
      <c r="H125" s="4">
        <v>55000</v>
      </c>
      <c r="I125" s="4">
        <v>0.05</v>
      </c>
      <c r="J125" s="4">
        <v>52250</v>
      </c>
      <c r="K125" s="4">
        <v>104500</v>
      </c>
      <c r="L125" s="4">
        <v>84773.39</v>
      </c>
      <c r="M125" s="4">
        <v>19726.61</v>
      </c>
      <c r="N125" s="4" t="s">
        <v>58</v>
      </c>
      <c r="O125" s="4" t="s">
        <v>205</v>
      </c>
      <c r="P125" s="4">
        <v>5</v>
      </c>
      <c r="Q125" s="6">
        <v>0.18877138755980863</v>
      </c>
    </row>
    <row r="126" spans="1:17" x14ac:dyDescent="0.3">
      <c r="A126" s="4" t="s">
        <v>229</v>
      </c>
      <c r="B126" s="5">
        <v>46165.768750000003</v>
      </c>
      <c r="C126" s="4" t="s">
        <v>88</v>
      </c>
      <c r="D126" s="4" t="s">
        <v>36</v>
      </c>
      <c r="E126" s="4" t="s">
        <v>37</v>
      </c>
      <c r="F126" s="4" t="s">
        <v>33</v>
      </c>
      <c r="G126" s="4">
        <v>1</v>
      </c>
      <c r="H126" s="4">
        <v>12000</v>
      </c>
      <c r="I126" s="4">
        <v>0.15</v>
      </c>
      <c r="J126" s="4">
        <v>10200</v>
      </c>
      <c r="K126" s="4">
        <v>10200</v>
      </c>
      <c r="L126" s="4">
        <v>8282.43</v>
      </c>
      <c r="M126" s="4">
        <v>1917.57</v>
      </c>
      <c r="N126" s="4" t="s">
        <v>39</v>
      </c>
      <c r="O126" s="4" t="s">
        <v>205</v>
      </c>
      <c r="P126" s="4">
        <v>5</v>
      </c>
      <c r="Q126" s="6">
        <v>0.18799705882352941</v>
      </c>
    </row>
    <row r="127" spans="1:17" x14ac:dyDescent="0.3">
      <c r="A127" s="4" t="s">
        <v>230</v>
      </c>
      <c r="B127" s="5">
        <v>46167.370833333334</v>
      </c>
      <c r="C127" s="4" t="s">
        <v>31</v>
      </c>
      <c r="D127" s="4" t="s">
        <v>19</v>
      </c>
      <c r="E127" s="4" t="s">
        <v>20</v>
      </c>
      <c r="F127" s="4" t="s">
        <v>38</v>
      </c>
      <c r="G127" s="4">
        <v>1</v>
      </c>
      <c r="H127" s="4">
        <v>15000</v>
      </c>
      <c r="I127" s="4">
        <v>0</v>
      </c>
      <c r="J127" s="4">
        <v>15000</v>
      </c>
      <c r="K127" s="4">
        <v>15000</v>
      </c>
      <c r="L127" s="4">
        <v>11807.29</v>
      </c>
      <c r="M127" s="4">
        <v>3192.71</v>
      </c>
      <c r="N127" s="4" t="s">
        <v>51</v>
      </c>
      <c r="O127" s="4" t="s">
        <v>205</v>
      </c>
      <c r="P127" s="4">
        <v>5</v>
      </c>
      <c r="Q127" s="6">
        <v>0.21284733333333333</v>
      </c>
    </row>
    <row r="128" spans="1:17" x14ac:dyDescent="0.3">
      <c r="A128" s="4" t="s">
        <v>231</v>
      </c>
      <c r="B128" s="5">
        <v>46168.625</v>
      </c>
      <c r="C128" s="4" t="s">
        <v>66</v>
      </c>
      <c r="D128" s="4" t="s">
        <v>36</v>
      </c>
      <c r="E128" s="4" t="s">
        <v>37</v>
      </c>
      <c r="F128" s="4" t="s">
        <v>33</v>
      </c>
      <c r="G128" s="4">
        <v>5</v>
      </c>
      <c r="H128" s="4">
        <v>12000</v>
      </c>
      <c r="I128" s="4">
        <v>0</v>
      </c>
      <c r="J128" s="4">
        <v>12000</v>
      </c>
      <c r="K128" s="4">
        <v>60000</v>
      </c>
      <c r="L128" s="4">
        <v>39763.550000000003</v>
      </c>
      <c r="M128" s="4">
        <v>20236.45</v>
      </c>
      <c r="N128" s="4" t="s">
        <v>39</v>
      </c>
      <c r="O128" s="4" t="s">
        <v>205</v>
      </c>
      <c r="P128" s="4">
        <v>5</v>
      </c>
      <c r="Q128" s="6">
        <v>0.33727416666666665</v>
      </c>
    </row>
    <row r="129" spans="1:17" x14ac:dyDescent="0.3">
      <c r="A129" s="4" t="s">
        <v>232</v>
      </c>
      <c r="B129" s="5">
        <v>46168.720833333333</v>
      </c>
      <c r="C129" s="4" t="s">
        <v>25</v>
      </c>
      <c r="D129" s="4" t="s">
        <v>26</v>
      </c>
      <c r="E129" s="4" t="s">
        <v>27</v>
      </c>
      <c r="F129" s="4" t="s">
        <v>28</v>
      </c>
      <c r="G129" s="4">
        <v>5</v>
      </c>
      <c r="H129" s="4">
        <v>1200</v>
      </c>
      <c r="I129" s="4">
        <v>0.05</v>
      </c>
      <c r="J129" s="4">
        <v>1140</v>
      </c>
      <c r="K129" s="4">
        <v>5700</v>
      </c>
      <c r="L129" s="4">
        <v>3590.2</v>
      </c>
      <c r="M129" s="4">
        <v>2109.8000000000002</v>
      </c>
      <c r="N129" s="4" t="s">
        <v>61</v>
      </c>
      <c r="O129" s="4" t="s">
        <v>205</v>
      </c>
      <c r="P129" s="4">
        <v>5</v>
      </c>
      <c r="Q129" s="6">
        <v>0.37014035087719299</v>
      </c>
    </row>
    <row r="130" spans="1:17" x14ac:dyDescent="0.3">
      <c r="A130" s="4" t="s">
        <v>233</v>
      </c>
      <c r="B130" s="5">
        <v>46169.784722222219</v>
      </c>
      <c r="C130" s="4" t="s">
        <v>234</v>
      </c>
      <c r="D130" s="4" t="s">
        <v>50</v>
      </c>
      <c r="E130" s="4" t="s">
        <v>20</v>
      </c>
      <c r="F130" s="4" t="s">
        <v>33</v>
      </c>
      <c r="G130" s="4">
        <v>1</v>
      </c>
      <c r="H130" s="4">
        <v>11000</v>
      </c>
      <c r="I130" s="4">
        <v>0.1</v>
      </c>
      <c r="J130" s="4">
        <v>9900</v>
      </c>
      <c r="K130" s="4">
        <v>9900</v>
      </c>
      <c r="L130" s="4">
        <v>6463.31</v>
      </c>
      <c r="M130" s="4">
        <v>3436.69</v>
      </c>
      <c r="N130" s="4" t="s">
        <v>39</v>
      </c>
      <c r="O130" s="4" t="s">
        <v>205</v>
      </c>
      <c r="P130" s="4">
        <v>5</v>
      </c>
      <c r="Q130" s="6">
        <v>0.34714040404040403</v>
      </c>
    </row>
    <row r="131" spans="1:17" x14ac:dyDescent="0.3">
      <c r="A131" s="4" t="s">
        <v>235</v>
      </c>
      <c r="B131" s="5">
        <v>46170.386111111111</v>
      </c>
      <c r="C131" s="4" t="s">
        <v>236</v>
      </c>
      <c r="D131" s="4" t="s">
        <v>32</v>
      </c>
      <c r="E131" s="4" t="s">
        <v>20</v>
      </c>
      <c r="F131" s="4" t="s">
        <v>38</v>
      </c>
      <c r="G131" s="4">
        <v>5</v>
      </c>
      <c r="H131" s="4">
        <v>55000</v>
      </c>
      <c r="I131" s="4">
        <v>0.05</v>
      </c>
      <c r="J131" s="4">
        <v>52250</v>
      </c>
      <c r="K131" s="4">
        <v>261250</v>
      </c>
      <c r="L131" s="4">
        <v>177856.3</v>
      </c>
      <c r="M131" s="4">
        <v>83393.7</v>
      </c>
      <c r="N131" s="4" t="s">
        <v>51</v>
      </c>
      <c r="O131" s="4" t="s">
        <v>205</v>
      </c>
      <c r="P131" s="4">
        <v>5</v>
      </c>
      <c r="Q131" s="6">
        <v>0.31921033492822964</v>
      </c>
    </row>
    <row r="132" spans="1:17" x14ac:dyDescent="0.3">
      <c r="A132" s="4" t="s">
        <v>237</v>
      </c>
      <c r="B132" s="5">
        <v>46170.835416666669</v>
      </c>
      <c r="C132" s="4" t="s">
        <v>238</v>
      </c>
      <c r="D132" s="4" t="s">
        <v>36</v>
      </c>
      <c r="E132" s="4" t="s">
        <v>37</v>
      </c>
      <c r="F132" s="4" t="s">
        <v>33</v>
      </c>
      <c r="G132" s="4">
        <v>1</v>
      </c>
      <c r="H132" s="4">
        <v>12000</v>
      </c>
      <c r="I132" s="4">
        <v>0</v>
      </c>
      <c r="J132" s="4">
        <v>12000</v>
      </c>
      <c r="K132" s="4">
        <v>12000</v>
      </c>
      <c r="L132" s="4">
        <v>8644.42</v>
      </c>
      <c r="M132" s="4">
        <v>3355.58</v>
      </c>
      <c r="N132" s="4" t="s">
        <v>29</v>
      </c>
      <c r="O132" s="4" t="s">
        <v>205</v>
      </c>
      <c r="P132" s="4">
        <v>5</v>
      </c>
      <c r="Q132" s="6">
        <v>0.27963166666666667</v>
      </c>
    </row>
    <row r="133" spans="1:17" x14ac:dyDescent="0.3">
      <c r="A133" s="4" t="s">
        <v>239</v>
      </c>
      <c r="B133" s="5">
        <v>46171.79583333333</v>
      </c>
      <c r="C133" s="4" t="s">
        <v>72</v>
      </c>
      <c r="D133" s="4" t="s">
        <v>42</v>
      </c>
      <c r="E133" s="4" t="s">
        <v>27</v>
      </c>
      <c r="F133" s="4" t="s">
        <v>38</v>
      </c>
      <c r="G133" s="4">
        <v>4</v>
      </c>
      <c r="H133" s="4">
        <v>1800</v>
      </c>
      <c r="I133" s="4">
        <v>0</v>
      </c>
      <c r="J133" s="4">
        <v>1800</v>
      </c>
      <c r="K133" s="4">
        <v>7200</v>
      </c>
      <c r="L133" s="4">
        <v>5534.62</v>
      </c>
      <c r="M133" s="4">
        <v>1665.38</v>
      </c>
      <c r="N133" s="4" t="s">
        <v>22</v>
      </c>
      <c r="O133" s="4" t="s">
        <v>205</v>
      </c>
      <c r="P133" s="4">
        <v>5</v>
      </c>
      <c r="Q133" s="6">
        <v>0.2313027777777778</v>
      </c>
    </row>
    <row r="134" spans="1:17" x14ac:dyDescent="0.3">
      <c r="A134" s="4" t="s">
        <v>240</v>
      </c>
      <c r="B134" s="5">
        <v>46171.561111111114</v>
      </c>
      <c r="C134" s="4" t="s">
        <v>95</v>
      </c>
      <c r="D134" s="4" t="s">
        <v>42</v>
      </c>
      <c r="E134" s="4" t="s">
        <v>27</v>
      </c>
      <c r="F134" s="4" t="s">
        <v>38</v>
      </c>
      <c r="G134" s="4">
        <v>5</v>
      </c>
      <c r="H134" s="4">
        <v>1800</v>
      </c>
      <c r="I134" s="4">
        <v>0</v>
      </c>
      <c r="J134" s="4">
        <v>1800</v>
      </c>
      <c r="K134" s="4">
        <v>9000</v>
      </c>
      <c r="L134" s="4">
        <v>6798.49</v>
      </c>
      <c r="M134" s="4">
        <v>2201.5100000000002</v>
      </c>
      <c r="N134" s="4" t="s">
        <v>51</v>
      </c>
      <c r="O134" s="4" t="s">
        <v>205</v>
      </c>
      <c r="P134" s="4">
        <v>5</v>
      </c>
      <c r="Q134" s="6">
        <v>0.24461222222222226</v>
      </c>
    </row>
    <row r="135" spans="1:17" x14ac:dyDescent="0.3">
      <c r="A135" s="4" t="s">
        <v>241</v>
      </c>
      <c r="B135" s="5">
        <v>46171.526388888888</v>
      </c>
      <c r="C135" s="4" t="s">
        <v>115</v>
      </c>
      <c r="D135" s="4" t="s">
        <v>92</v>
      </c>
      <c r="E135" s="4" t="s">
        <v>37</v>
      </c>
      <c r="F135" s="4" t="s">
        <v>28</v>
      </c>
      <c r="G135" s="4">
        <v>2</v>
      </c>
      <c r="H135" s="4">
        <v>8500</v>
      </c>
      <c r="I135" s="4">
        <v>0</v>
      </c>
      <c r="J135" s="4">
        <v>8500</v>
      </c>
      <c r="K135" s="4">
        <v>17000</v>
      </c>
      <c r="L135" s="4">
        <v>13922.24</v>
      </c>
      <c r="M135" s="4">
        <v>3077.76</v>
      </c>
      <c r="N135" s="4" t="s">
        <v>39</v>
      </c>
      <c r="O135" s="4" t="s">
        <v>205</v>
      </c>
      <c r="P135" s="4">
        <v>5</v>
      </c>
      <c r="Q135" s="6">
        <v>0.18104470588235294</v>
      </c>
    </row>
    <row r="136" spans="1:17" x14ac:dyDescent="0.3">
      <c r="A136" s="4" t="s">
        <v>242</v>
      </c>
      <c r="B136" s="5">
        <v>46171.647222222222</v>
      </c>
      <c r="C136" s="4" t="s">
        <v>117</v>
      </c>
      <c r="D136" s="4" t="s">
        <v>42</v>
      </c>
      <c r="E136" s="4" t="s">
        <v>27</v>
      </c>
      <c r="F136" s="4" t="s">
        <v>28</v>
      </c>
      <c r="G136" s="4">
        <v>2</v>
      </c>
      <c r="H136" s="4">
        <v>1800</v>
      </c>
      <c r="I136" s="4">
        <v>0.1</v>
      </c>
      <c r="J136" s="4">
        <v>1620</v>
      </c>
      <c r="K136" s="4">
        <v>3240</v>
      </c>
      <c r="L136" s="4">
        <v>2439.9699999999998</v>
      </c>
      <c r="M136" s="4">
        <v>800.03</v>
      </c>
      <c r="N136" s="4" t="s">
        <v>58</v>
      </c>
      <c r="O136" s="4" t="s">
        <v>205</v>
      </c>
      <c r="P136" s="4">
        <v>5</v>
      </c>
      <c r="Q136" s="6">
        <v>0.24692283950617283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C2EE-DD0E-4F22-9299-A49597665F07}">
  <dimension ref="A3:P328"/>
  <sheetViews>
    <sheetView tabSelected="1" zoomScale="57" workbookViewId="0">
      <selection activeCell="R25" sqref="R25"/>
    </sheetView>
  </sheetViews>
  <sheetFormatPr defaultRowHeight="14.4" x14ac:dyDescent="0.3"/>
  <cols>
    <col min="1" max="1" width="25.77734375" customWidth="1"/>
    <col min="2" max="2" width="17.6640625" customWidth="1"/>
    <col min="3" max="3" width="20.33203125" customWidth="1"/>
    <col min="4" max="4" width="21.5546875" customWidth="1"/>
    <col min="5" max="5" width="20.109375" customWidth="1"/>
    <col min="6" max="6" width="22.33203125" customWidth="1"/>
    <col min="8" max="8" width="27.88671875" customWidth="1"/>
    <col min="9" max="9" width="24" customWidth="1"/>
    <col min="16" max="16" width="22.88671875" customWidth="1"/>
  </cols>
  <sheetData>
    <row r="3" spans="1:9" x14ac:dyDescent="0.3">
      <c r="A3" s="1" t="s">
        <v>243</v>
      </c>
      <c r="B3" s="1" t="s">
        <v>244</v>
      </c>
      <c r="C3" s="1" t="s">
        <v>245</v>
      </c>
      <c r="D3" s="1" t="s">
        <v>246</v>
      </c>
      <c r="E3" s="1" t="s">
        <v>248</v>
      </c>
      <c r="F3" s="1" t="s">
        <v>247</v>
      </c>
      <c r="G3" s="4"/>
      <c r="H3" t="s">
        <v>247</v>
      </c>
      <c r="I3" t="s">
        <v>249</v>
      </c>
    </row>
    <row r="4" spans="1:9" x14ac:dyDescent="0.3">
      <c r="A4" s="4" t="s">
        <v>100</v>
      </c>
      <c r="B4">
        <f>COUNTIF('task-16'!$C4:$C136,A4)</f>
        <v>2</v>
      </c>
      <c r="C4" s="7">
        <f>_xlfn.MINIFS('task-16'!$B4:$B136,'task-16'!$C4:$C136,A4)</f>
        <v>46055.402777777781</v>
      </c>
      <c r="D4" s="7">
        <f>_xlfn.MAXIFS('task-16'!$B4:$B136,'task-16'!$C4:$C136,A4)</f>
        <v>46095.59097222222</v>
      </c>
      <c r="E4" s="8">
        <f>INT(MAX('task-16'!$B4:$B136)-D4)</f>
        <v>76</v>
      </c>
      <c r="F4" t="str">
        <f t="shared" ref="F4:F35" si="0">IF(E4&gt;90,"Lost Customer",IF(B4=1,"One-Time Customer","Repeat Customer"))</f>
        <v>Repeat Customer</v>
      </c>
      <c r="G4" s="4"/>
      <c r="H4" t="s">
        <v>250</v>
      </c>
      <c r="I4">
        <f t="shared" ref="I4:I8" si="1">COUNTIF(F4:F68,H4)</f>
        <v>34</v>
      </c>
    </row>
    <row r="5" spans="1:9" x14ac:dyDescent="0.3">
      <c r="A5" s="4" t="s">
        <v>200</v>
      </c>
      <c r="B5">
        <f>COUNTIF('task-16'!$C4:$C136,A5)</f>
        <v>1</v>
      </c>
      <c r="C5" s="7">
        <f>_xlfn.MINIFS('task-16'!$B4:$B136,'task-16'!$C4:$C136,A5)</f>
        <v>46107.441666666666</v>
      </c>
      <c r="D5" s="7">
        <f>_xlfn.MAXIFS('task-16'!$B4:$B136,'task-16'!$C4:$C136,A5)</f>
        <v>46107.441666666666</v>
      </c>
      <c r="E5" s="8">
        <f>INT(MAX('task-16'!$B4:$B136)-D5)</f>
        <v>64</v>
      </c>
      <c r="F5" t="str">
        <f t="shared" si="0"/>
        <v>One-Time Customer</v>
      </c>
      <c r="G5" s="4"/>
      <c r="H5" t="s">
        <v>251</v>
      </c>
      <c r="I5">
        <f>COUNTIF(F4:F68,H5)</f>
        <v>21</v>
      </c>
    </row>
    <row r="6" spans="1:9" x14ac:dyDescent="0.3">
      <c r="A6" s="4" t="s">
        <v>82</v>
      </c>
      <c r="B6">
        <f>COUNTIF('task-16'!$C4:$C136,A6)</f>
        <v>2</v>
      </c>
      <c r="C6" s="7">
        <f>_xlfn.MINIFS('task-16'!$B4:$B136,'task-16'!$C4:$C136,A6)</f>
        <v>46076.739583333336</v>
      </c>
      <c r="D6" s="7">
        <f>_xlfn.MAXIFS('task-16'!$B4:$B136,'task-16'!$C4:$C136,A6)</f>
        <v>46136.396527777775</v>
      </c>
      <c r="E6" s="8">
        <f>INT(MAX('task-16'!$B4:$B136)-D6)</f>
        <v>35</v>
      </c>
      <c r="F6" t="str">
        <f t="shared" si="0"/>
        <v>Repeat Customer</v>
      </c>
      <c r="G6" s="4"/>
      <c r="H6" t="s">
        <v>252</v>
      </c>
      <c r="I6">
        <f>COUNTIF(F4:F68,H6)</f>
        <v>10</v>
      </c>
    </row>
    <row r="7" spans="1:9" x14ac:dyDescent="0.3">
      <c r="A7" s="4" t="s">
        <v>149</v>
      </c>
      <c r="B7">
        <f>COUNTIF('task-16'!$C4:$C136,A7)</f>
        <v>1</v>
      </c>
      <c r="C7" s="7">
        <f>_xlfn.MINIFS('task-16'!$B4:$B136,'task-16'!$C4:$C136,A7)</f>
        <v>46038.526388888888</v>
      </c>
      <c r="D7" s="7">
        <f>_xlfn.MAXIFS('task-16'!$B4:$B136,'task-16'!$C4:$C136,A7)</f>
        <v>46038.526388888888</v>
      </c>
      <c r="E7" s="8">
        <f>INT(MAX('task-16'!$B4:$B136)-D7)</f>
        <v>133</v>
      </c>
      <c r="F7" t="str">
        <f t="shared" si="0"/>
        <v>Lost Customer</v>
      </c>
      <c r="G7" s="4"/>
      <c r="H7" t="s">
        <v>253</v>
      </c>
      <c r="I7">
        <f>SUM(I4:I6)</f>
        <v>65</v>
      </c>
    </row>
    <row r="8" spans="1:9" ht="15.6" x14ac:dyDescent="0.3">
      <c r="A8" s="4" t="s">
        <v>69</v>
      </c>
      <c r="B8">
        <f>COUNTIF('task-16'!$C4:$C136,A8)</f>
        <v>2</v>
      </c>
      <c r="C8" s="7">
        <f>_xlfn.MINIFS('task-16'!$B4:$B136,'task-16'!$C4:$C136,A8)</f>
        <v>46076.809027777781</v>
      </c>
      <c r="D8" s="7">
        <f>_xlfn.MAXIFS('task-16'!$B4:$B136,'task-16'!$C4:$C136,A8)</f>
        <v>46130.675694444442</v>
      </c>
      <c r="E8" s="8">
        <f>INT(MAX('task-16'!$B4:$B136)-D8)</f>
        <v>41</v>
      </c>
      <c r="F8" t="str">
        <f t="shared" si="0"/>
        <v>Repeat Customer</v>
      </c>
      <c r="G8" s="4"/>
      <c r="H8" s="9" t="s">
        <v>254</v>
      </c>
      <c r="I8" s="10">
        <f>IF(I7=0,0,I4/I7)</f>
        <v>0.52307692307692311</v>
      </c>
    </row>
    <row r="9" spans="1:9" x14ac:dyDescent="0.3">
      <c r="A9" s="4" t="s">
        <v>78</v>
      </c>
      <c r="B9">
        <f>COUNTIF('task-16'!$C4:$C136,A9)</f>
        <v>1</v>
      </c>
      <c r="C9" s="7">
        <f>_xlfn.MINIFS('task-16'!$B4:$B136,'task-16'!$C4:$C136,A9)</f>
        <v>46133.737500000003</v>
      </c>
      <c r="D9" s="7">
        <f>_xlfn.MAXIFS('task-16'!$B4:$B136,'task-16'!$C4:$C136,A9)</f>
        <v>46133.737500000003</v>
      </c>
      <c r="E9" s="8">
        <f>INT(MAX('task-16'!$B4:$B136)-D9)</f>
        <v>38</v>
      </c>
      <c r="F9" t="str">
        <f t="shared" si="0"/>
        <v>One-Time Customer</v>
      </c>
      <c r="G9" s="4"/>
      <c r="H9" s="4"/>
    </row>
    <row r="10" spans="1:9" x14ac:dyDescent="0.3">
      <c r="A10" s="4" t="s">
        <v>134</v>
      </c>
      <c r="B10">
        <f>COUNTIF('task-16'!$C4:$C136,A10)</f>
        <v>3</v>
      </c>
      <c r="C10" s="7">
        <f>_xlfn.MINIFS('task-16'!$B4:$B136,'task-16'!$C4:$C136,A10)</f>
        <v>46031.500694444447</v>
      </c>
      <c r="D10" s="7">
        <f>_xlfn.MAXIFS('task-16'!$B4:$B136,'task-16'!$C4:$C136,A10)</f>
        <v>46081.565972222219</v>
      </c>
      <c r="E10" s="8">
        <f>INT(MAX('task-16'!$B4:$B136)-D10)</f>
        <v>90</v>
      </c>
      <c r="F10" t="str">
        <f t="shared" si="0"/>
        <v>Repeat Customer</v>
      </c>
      <c r="G10" s="4"/>
      <c r="H10" s="4"/>
    </row>
    <row r="11" spans="1:9" x14ac:dyDescent="0.3">
      <c r="A11" s="4" t="s">
        <v>84</v>
      </c>
      <c r="B11">
        <f>COUNTIF('task-16'!$C4:$C136,A11)</f>
        <v>3</v>
      </c>
      <c r="C11" s="7">
        <f>_xlfn.MINIFS('task-16'!$B4:$B136,'task-16'!$C4:$C136,A11)</f>
        <v>46056.624305555553</v>
      </c>
      <c r="D11" s="7">
        <f>_xlfn.MAXIFS('task-16'!$B4:$B136,'task-16'!$C4:$C136,A11)</f>
        <v>46146.759722222225</v>
      </c>
      <c r="E11" s="8">
        <f>INT(MAX('task-16'!$B4:$B136)-D11)</f>
        <v>25</v>
      </c>
      <c r="F11" t="str">
        <f t="shared" si="0"/>
        <v>Repeat Customer</v>
      </c>
      <c r="G11" s="4"/>
      <c r="H11" s="4"/>
    </row>
    <row r="12" spans="1:9" x14ac:dyDescent="0.3">
      <c r="A12" s="4" t="s">
        <v>153</v>
      </c>
      <c r="B12">
        <f>COUNTIF('task-16'!$C4:$C136,A12)</f>
        <v>1</v>
      </c>
      <c r="C12" s="7">
        <f>_xlfn.MINIFS('task-16'!$B4:$B136,'task-16'!$C4:$C136,A12)</f>
        <v>46040.661805555559</v>
      </c>
      <c r="D12" s="7">
        <f>_xlfn.MAXIFS('task-16'!$B4:$B136,'task-16'!$C4:$C136,A12)</f>
        <v>46040.661805555559</v>
      </c>
      <c r="E12" s="8">
        <f>INT(MAX('task-16'!$B4:$B136)-D12)</f>
        <v>131</v>
      </c>
      <c r="F12" t="str">
        <f t="shared" si="0"/>
        <v>Lost Customer</v>
      </c>
      <c r="G12" s="4"/>
      <c r="H12" s="4"/>
    </row>
    <row r="13" spans="1:9" x14ac:dyDescent="0.3">
      <c r="A13" s="4" t="s">
        <v>193</v>
      </c>
      <c r="B13">
        <f>COUNTIF('task-16'!$C4:$C136,A13)</f>
        <v>2</v>
      </c>
      <c r="C13" s="7">
        <f>_xlfn.MINIFS('task-16'!$B4:$B136,'task-16'!$C4:$C136,A13)</f>
        <v>46102.806944444441</v>
      </c>
      <c r="D13" s="7">
        <f>_xlfn.MAXIFS('task-16'!$B4:$B136,'task-16'!$C4:$C136,A13)</f>
        <v>46159.633333333331</v>
      </c>
      <c r="E13" s="8">
        <f>INT(MAX('task-16'!$B4:$B136)-D13)</f>
        <v>12</v>
      </c>
      <c r="F13" t="str">
        <f t="shared" si="0"/>
        <v>Repeat Customer</v>
      </c>
      <c r="G13" s="4"/>
      <c r="H13" s="4"/>
    </row>
    <row r="14" spans="1:9" x14ac:dyDescent="0.3">
      <c r="A14" s="4" t="s">
        <v>166</v>
      </c>
      <c r="B14">
        <f>COUNTIF('task-16'!$C4:$C136,A14)</f>
        <v>1</v>
      </c>
      <c r="C14" s="7">
        <f>_xlfn.MINIFS('task-16'!$B4:$B136,'task-16'!$C4:$C136,A14)</f>
        <v>46051.520138888889</v>
      </c>
      <c r="D14" s="7">
        <f>_xlfn.MAXIFS('task-16'!$B4:$B136,'task-16'!$C4:$C136,A14)</f>
        <v>46051.520138888889</v>
      </c>
      <c r="E14" s="8">
        <f>INT(MAX('task-16'!$B4:$B136)-D14)</f>
        <v>120</v>
      </c>
      <c r="F14" t="str">
        <f t="shared" si="0"/>
        <v>Lost Customer</v>
      </c>
      <c r="G14" s="4"/>
      <c r="H14" s="4"/>
    </row>
    <row r="15" spans="1:9" x14ac:dyDescent="0.3">
      <c r="A15" s="4" t="s">
        <v>141</v>
      </c>
      <c r="B15">
        <f>COUNTIF('task-16'!$C4:$C136,A15)</f>
        <v>2</v>
      </c>
      <c r="C15" s="7">
        <f>_xlfn.MINIFS('task-16'!$B4:$B136,'task-16'!$C4:$C136,A15)</f>
        <v>46025.604166666664</v>
      </c>
      <c r="D15" s="7">
        <f>_xlfn.MAXIFS('task-16'!$B4:$B136,'task-16'!$C4:$C136,A15)</f>
        <v>46150.647222222222</v>
      </c>
      <c r="E15" s="8">
        <f>INT(MAX('task-16'!$B4:$B136)-D15)</f>
        <v>21</v>
      </c>
      <c r="F15" t="str">
        <f t="shared" si="0"/>
        <v>Repeat Customer</v>
      </c>
      <c r="G15" s="4"/>
      <c r="H15" s="4"/>
    </row>
    <row r="16" spans="1:9" x14ac:dyDescent="0.3">
      <c r="A16" s="4" t="s">
        <v>74</v>
      </c>
      <c r="B16">
        <f>COUNTIF('task-16'!$C4:$C136,A16)</f>
        <v>2</v>
      </c>
      <c r="C16" s="7">
        <f>_xlfn.MINIFS('task-16'!$B4:$B136,'task-16'!$C4:$C136,A16)</f>
        <v>46072.774305555555</v>
      </c>
      <c r="D16" s="7">
        <f>_xlfn.MAXIFS('task-16'!$B4:$B136,'task-16'!$C4:$C136,A16)</f>
        <v>46132.769444444442</v>
      </c>
      <c r="E16" s="8">
        <f>INT(MAX('task-16'!$B4:$B136)-D16)</f>
        <v>39</v>
      </c>
      <c r="F16" t="str">
        <f t="shared" si="0"/>
        <v>Repeat Customer</v>
      </c>
      <c r="G16" s="4"/>
      <c r="H16" s="4"/>
    </row>
    <row r="17" spans="1:16" x14ac:dyDescent="0.3">
      <c r="A17" s="4" t="s">
        <v>136</v>
      </c>
      <c r="B17">
        <f>COUNTIF('task-16'!$C4:$C136,A17)</f>
        <v>2</v>
      </c>
      <c r="C17" s="7">
        <f>_xlfn.MINIFS('task-16'!$B4:$B136,'task-16'!$C4:$C136,A17)</f>
        <v>46081.350694444445</v>
      </c>
      <c r="D17" s="7">
        <f>_xlfn.MAXIFS('task-16'!$B4:$B136,'task-16'!$C4:$C136,A17)</f>
        <v>46083.489583333336</v>
      </c>
      <c r="E17" s="8">
        <f>INT(MAX('task-16'!$B4:$B136)-D17)</f>
        <v>88</v>
      </c>
      <c r="F17" t="str">
        <f t="shared" si="0"/>
        <v>Repeat Customer</v>
      </c>
      <c r="G17" s="4"/>
      <c r="H17" s="4"/>
    </row>
    <row r="18" spans="1:16" x14ac:dyDescent="0.3">
      <c r="A18" s="4" t="s">
        <v>216</v>
      </c>
      <c r="B18">
        <f>COUNTIF('task-16'!$C4:$C136,A18)</f>
        <v>1</v>
      </c>
      <c r="C18" s="7">
        <f>_xlfn.MINIFS('task-16'!$B4:$B136,'task-16'!$C4:$C136,A18)</f>
        <v>46153.695138888892</v>
      </c>
      <c r="D18" s="7">
        <f>_xlfn.MAXIFS('task-16'!$B4:$B136,'task-16'!$C4:$C136,A18)</f>
        <v>46153.695138888892</v>
      </c>
      <c r="E18" s="8">
        <f>INT(MAX('task-16'!$B4:$B136)-D18)</f>
        <v>18</v>
      </c>
      <c r="F18" t="str">
        <f t="shared" si="0"/>
        <v>One-Time Customer</v>
      </c>
      <c r="G18" s="4"/>
      <c r="H18" s="4"/>
    </row>
    <row r="19" spans="1:16" x14ac:dyDescent="0.3">
      <c r="A19" s="4" t="s">
        <v>123</v>
      </c>
      <c r="B19">
        <f>COUNTIF('task-16'!$C4:$C136,A19)</f>
        <v>2</v>
      </c>
      <c r="C19" s="7">
        <f>_xlfn.MINIFS('task-16'!$B4:$B136,'task-16'!$C4:$C136,A19)</f>
        <v>46038.367361111108</v>
      </c>
      <c r="D19" s="7">
        <f>_xlfn.MAXIFS('task-16'!$B4:$B136,'task-16'!$C4:$C136,A19)</f>
        <v>46077.620833333334</v>
      </c>
      <c r="E19" s="8">
        <f>INT(MAX('task-16'!$B4:$B136)-D19)</f>
        <v>94</v>
      </c>
      <c r="F19" t="str">
        <f t="shared" si="0"/>
        <v>Lost Customer</v>
      </c>
      <c r="G19" s="4"/>
      <c r="H19" s="4"/>
    </row>
    <row r="20" spans="1:16" x14ac:dyDescent="0.3">
      <c r="A20" s="4" t="s">
        <v>187</v>
      </c>
      <c r="B20">
        <f>COUNTIF('task-16'!$C4:$C136,A20)</f>
        <v>1</v>
      </c>
      <c r="C20" s="7">
        <f>_xlfn.MINIFS('task-16'!$B4:$B136,'task-16'!$C4:$C136,A20)</f>
        <v>46097.54791666667</v>
      </c>
      <c r="D20" s="7">
        <f>_xlfn.MAXIFS('task-16'!$B4:$B136,'task-16'!$C4:$C136,A20)</f>
        <v>46097.54791666667</v>
      </c>
      <c r="E20" s="8">
        <f>INT(MAX('task-16'!$B4:$B136)-D20)</f>
        <v>74</v>
      </c>
      <c r="F20" t="str">
        <f t="shared" si="0"/>
        <v>One-Time Customer</v>
      </c>
      <c r="G20" s="4"/>
      <c r="H20" s="4"/>
    </row>
    <row r="21" spans="1:16" x14ac:dyDescent="0.3">
      <c r="A21" s="4" t="s">
        <v>234</v>
      </c>
      <c r="B21">
        <f>COUNTIF('task-16'!$C4:$C136,A21)</f>
        <v>1</v>
      </c>
      <c r="C21" s="7">
        <f>_xlfn.MINIFS('task-16'!$B4:$B136,'task-16'!$C4:$C136,A21)</f>
        <v>46169.784722222219</v>
      </c>
      <c r="D21" s="7">
        <f>_xlfn.MAXIFS('task-16'!$B4:$B136,'task-16'!$C4:$C136,A21)</f>
        <v>46169.784722222219</v>
      </c>
      <c r="E21" s="8">
        <f>INT(MAX('task-16'!$B4:$B136)-D21)</f>
        <v>2</v>
      </c>
      <c r="F21" t="str">
        <f t="shared" si="0"/>
        <v>One-Time Customer</v>
      </c>
      <c r="G21" s="4"/>
      <c r="H21" s="4"/>
    </row>
    <row r="22" spans="1:16" x14ac:dyDescent="0.3">
      <c r="A22" s="4" t="s">
        <v>109</v>
      </c>
      <c r="B22">
        <f>COUNTIF('task-16'!$C4:$C136,A22)</f>
        <v>2</v>
      </c>
      <c r="C22" s="7">
        <f>_xlfn.MINIFS('task-16'!$B4:$B136,'task-16'!$C4:$C136,A22)</f>
        <v>46066.643750000003</v>
      </c>
      <c r="D22" s="7">
        <f>_xlfn.MAXIFS('task-16'!$B4:$B136,'task-16'!$C4:$C136,A22)</f>
        <v>46105.779166666667</v>
      </c>
      <c r="E22" s="8">
        <f>INT(MAX('task-16'!$B4:$B136)-D22)</f>
        <v>66</v>
      </c>
      <c r="F22" t="str">
        <f t="shared" si="0"/>
        <v>Repeat Customer</v>
      </c>
      <c r="G22" s="4"/>
      <c r="H22" s="4"/>
    </row>
    <row r="23" spans="1:16" x14ac:dyDescent="0.3">
      <c r="A23" s="4" t="s">
        <v>131</v>
      </c>
      <c r="B23">
        <f>COUNTIF('task-16'!$C4:$C136,A23)</f>
        <v>2</v>
      </c>
      <c r="C23" s="7">
        <f>_xlfn.MINIFS('task-16'!$B4:$B136,'task-16'!$C4:$C136,A23)</f>
        <v>46078.818749999999</v>
      </c>
      <c r="D23" s="7">
        <f>_xlfn.MAXIFS('task-16'!$B4:$B136,'task-16'!$C4:$C136,A23)</f>
        <v>46112.729861111111</v>
      </c>
      <c r="E23" s="8">
        <f>INT(MAX('task-16'!$B4:$B136)-D23)</f>
        <v>59</v>
      </c>
      <c r="F23" t="str">
        <f t="shared" si="0"/>
        <v>Repeat Customer</v>
      </c>
      <c r="G23" s="4"/>
      <c r="H23" s="4"/>
    </row>
    <row r="24" spans="1:16" x14ac:dyDescent="0.3">
      <c r="A24" s="4" t="s">
        <v>31</v>
      </c>
      <c r="B24">
        <f>COUNTIF('task-16'!$C4:$C136,A24)</f>
        <v>6</v>
      </c>
      <c r="C24" s="7">
        <f>_xlfn.MINIFS('task-16'!$B4:$B136,'task-16'!$C4:$C136,A24)</f>
        <v>46042.652083333334</v>
      </c>
      <c r="D24" s="7">
        <f>_xlfn.MAXIFS('task-16'!$B4:$B136,'task-16'!$C4:$C136,A24)</f>
        <v>46167.370833333334</v>
      </c>
      <c r="E24" s="8">
        <f>INT(MAX('task-16'!$B4:$B136)-D24)</f>
        <v>4</v>
      </c>
      <c r="F24" t="str">
        <f t="shared" si="0"/>
        <v>Repeat Customer</v>
      </c>
      <c r="G24" s="4"/>
      <c r="H24" s="4"/>
    </row>
    <row r="25" spans="1:16" x14ac:dyDescent="0.3">
      <c r="A25" s="4" t="s">
        <v>238</v>
      </c>
      <c r="B25">
        <f>COUNTIF('task-16'!$C4:$C136,A25)</f>
        <v>1</v>
      </c>
      <c r="C25" s="7">
        <f>_xlfn.MINIFS('task-16'!$B4:$B136,'task-16'!$C4:$C136,A25)</f>
        <v>46170.835416666669</v>
      </c>
      <c r="D25" s="7">
        <f>_xlfn.MAXIFS('task-16'!$B4:$B136,'task-16'!$C4:$C136,A25)</f>
        <v>46170.835416666669</v>
      </c>
      <c r="E25" s="8">
        <f>INT(MAX('task-16'!$B4:$B136)-D25)</f>
        <v>0</v>
      </c>
      <c r="F25" t="str">
        <f t="shared" si="0"/>
        <v>One-Time Customer</v>
      </c>
      <c r="G25" s="4"/>
      <c r="H25" s="4"/>
    </row>
    <row r="26" spans="1:16" x14ac:dyDescent="0.3">
      <c r="A26" s="4" t="s">
        <v>160</v>
      </c>
      <c r="B26">
        <f>COUNTIF('task-16'!$C4:$C136,A26)</f>
        <v>3</v>
      </c>
      <c r="C26" s="7">
        <f>_xlfn.MINIFS('task-16'!$B4:$B136,'task-16'!$C4:$C136,A26)</f>
        <v>46046.6</v>
      </c>
      <c r="D26" s="7">
        <f>_xlfn.MAXIFS('task-16'!$B4:$B136,'task-16'!$C4:$C136,A26)</f>
        <v>46164.446527777778</v>
      </c>
      <c r="E26" s="8">
        <f>INT(MAX('task-16'!$B4:$B136)-D26)</f>
        <v>7</v>
      </c>
      <c r="F26" t="str">
        <f t="shared" si="0"/>
        <v>Repeat Customer</v>
      </c>
      <c r="G26" s="4"/>
      <c r="H26" s="4"/>
    </row>
    <row r="27" spans="1:16" x14ac:dyDescent="0.3">
      <c r="A27" s="4" t="s">
        <v>129</v>
      </c>
      <c r="B27">
        <f>COUNTIF('task-16'!$C4:$C136,A27)</f>
        <v>2</v>
      </c>
      <c r="C27" s="7">
        <f>_xlfn.MINIFS('task-16'!$B4:$B136,'task-16'!$C4:$C136,A27)</f>
        <v>46078.707638888889</v>
      </c>
      <c r="D27" s="7">
        <f>_xlfn.MAXIFS('task-16'!$B4:$B136,'task-16'!$C4:$C136,A27)</f>
        <v>46148.756249999999</v>
      </c>
      <c r="E27" s="8">
        <f>INT(MAX('task-16'!$B4:$B136)-D27)</f>
        <v>23</v>
      </c>
      <c r="F27" t="str">
        <f t="shared" si="0"/>
        <v>Repeat Customer</v>
      </c>
      <c r="G27" s="4"/>
      <c r="H27" s="4"/>
    </row>
    <row r="28" spans="1:16" x14ac:dyDescent="0.3">
      <c r="A28" s="4" t="s">
        <v>55</v>
      </c>
      <c r="B28">
        <f>COUNTIF('task-16'!$C4:$C136,A28)</f>
        <v>3</v>
      </c>
      <c r="C28" s="7">
        <f>_xlfn.MINIFS('task-16'!$B4:$B136,'task-16'!$C4:$C136,A28)</f>
        <v>46043.770833333336</v>
      </c>
      <c r="D28" s="7">
        <f>_xlfn.MAXIFS('task-16'!$B4:$B136,'task-16'!$C4:$C136,A28)</f>
        <v>46138.511111111111</v>
      </c>
      <c r="E28" s="8">
        <f>INT(MAX('task-16'!$B4:$B136)-D28)</f>
        <v>33</v>
      </c>
      <c r="F28" t="str">
        <f t="shared" si="0"/>
        <v>Repeat Customer</v>
      </c>
      <c r="G28" s="4"/>
      <c r="H28" s="14" t="s">
        <v>255</v>
      </c>
    </row>
    <row r="29" spans="1:16" x14ac:dyDescent="0.3">
      <c r="A29" s="4" t="s">
        <v>113</v>
      </c>
      <c r="B29">
        <f>COUNTIF('task-16'!$C4:$C136,A29)</f>
        <v>1</v>
      </c>
      <c r="C29" s="7">
        <f>_xlfn.MINIFS('task-16'!$B4:$B136,'task-16'!$C4:$C136,A29)</f>
        <v>46070.659722222219</v>
      </c>
      <c r="D29" s="7">
        <f>_xlfn.MAXIFS('task-16'!$B4:$B136,'task-16'!$C4:$C136,A29)</f>
        <v>46070.659722222219</v>
      </c>
      <c r="E29" s="8">
        <f>INT(MAX('task-16'!$B4:$B136)-D29)</f>
        <v>101</v>
      </c>
      <c r="F29" t="str">
        <f t="shared" si="0"/>
        <v>Lost Customer</v>
      </c>
      <c r="G29" s="4"/>
      <c r="H29" s="11"/>
    </row>
    <row r="30" spans="1:16" x14ac:dyDescent="0.3">
      <c r="A30" s="4" t="s">
        <v>25</v>
      </c>
      <c r="B30">
        <f>COUNTIF('task-16'!$C4:$C136,A30)</f>
        <v>4</v>
      </c>
      <c r="C30" s="7">
        <f>_xlfn.MINIFS('task-16'!$B4:$B136,'task-16'!$C4:$C136,A30)</f>
        <v>46088.734027777777</v>
      </c>
      <c r="D30" s="7">
        <f>_xlfn.MAXIFS('task-16'!$B4:$B136,'task-16'!$C4:$C136,A30)</f>
        <v>46168.720833333333</v>
      </c>
      <c r="E30" s="8">
        <f>INT(MAX('task-16'!$B4:$B136)-D30)</f>
        <v>3</v>
      </c>
      <c r="F30" t="str">
        <f t="shared" si="0"/>
        <v>Repeat Customer</v>
      </c>
      <c r="G30" s="4"/>
      <c r="H30" s="12" t="s">
        <v>256</v>
      </c>
      <c r="I30" s="12"/>
      <c r="J30" s="12"/>
      <c r="K30" s="12"/>
      <c r="L30" s="12"/>
      <c r="M30" s="12"/>
      <c r="N30" s="12"/>
      <c r="O30" s="12"/>
      <c r="P30" s="12"/>
    </row>
    <row r="31" spans="1:16" x14ac:dyDescent="0.3">
      <c r="A31" s="4" t="s">
        <v>60</v>
      </c>
      <c r="B31">
        <f>COUNTIF('task-16'!$C4:$C136,A31)</f>
        <v>1</v>
      </c>
      <c r="C31" s="7">
        <f>_xlfn.MINIFS('task-16'!$B4:$B136,'task-16'!$C4:$C136,A31)</f>
        <v>46123.470138888886</v>
      </c>
      <c r="D31" s="7">
        <f>_xlfn.MAXIFS('task-16'!$B4:$B136,'task-16'!$C4:$C136,A31)</f>
        <v>46123.470138888886</v>
      </c>
      <c r="E31" s="8">
        <f>INT(MAX('task-16'!$B4:$B136)-D31)</f>
        <v>48</v>
      </c>
      <c r="F31" t="str">
        <f t="shared" si="0"/>
        <v>One-Time Customer</v>
      </c>
      <c r="G31" s="4"/>
      <c r="H31" s="12" t="s">
        <v>257</v>
      </c>
      <c r="I31" s="12"/>
      <c r="J31" s="12"/>
      <c r="K31" s="12"/>
      <c r="L31" s="12"/>
      <c r="M31" s="12"/>
      <c r="N31" s="12"/>
      <c r="O31" s="12"/>
      <c r="P31" s="12"/>
    </row>
    <row r="32" spans="1:16" x14ac:dyDescent="0.3">
      <c r="A32" s="4" t="s">
        <v>195</v>
      </c>
      <c r="B32">
        <f>COUNTIF('task-16'!$C4:$C136,A32)</f>
        <v>1</v>
      </c>
      <c r="C32" s="7">
        <f>_xlfn.MINIFS('task-16'!$B4:$B136,'task-16'!$C4:$C136,A32)</f>
        <v>46105.470833333333</v>
      </c>
      <c r="D32" s="7">
        <f>_xlfn.MAXIFS('task-16'!$B4:$B136,'task-16'!$C4:$C136,A32)</f>
        <v>46105.470833333333</v>
      </c>
      <c r="E32" s="8">
        <f>INT(MAX('task-16'!$B4:$B136)-D32)</f>
        <v>66</v>
      </c>
      <c r="F32" t="str">
        <f t="shared" si="0"/>
        <v>One-Time Customer</v>
      </c>
      <c r="G32" s="4"/>
      <c r="H32" s="12" t="s">
        <v>258</v>
      </c>
      <c r="I32" s="12"/>
      <c r="J32" s="12"/>
      <c r="K32" s="12"/>
      <c r="L32" s="12"/>
      <c r="M32" s="12"/>
      <c r="N32" s="12"/>
      <c r="O32" s="12"/>
      <c r="P32" s="12"/>
    </row>
    <row r="33" spans="1:16" x14ac:dyDescent="0.3">
      <c r="A33" s="4" t="s">
        <v>164</v>
      </c>
      <c r="B33">
        <f>COUNTIF('task-16'!$C4:$C136,A33)</f>
        <v>2</v>
      </c>
      <c r="C33" s="7">
        <f>_xlfn.MINIFS('task-16'!$B4:$B136,'task-16'!$C4:$C136,A33)</f>
        <v>46050.474999999999</v>
      </c>
      <c r="D33" s="7">
        <f>_xlfn.MAXIFS('task-16'!$B4:$B136,'task-16'!$C4:$C136,A33)</f>
        <v>46088.666666666664</v>
      </c>
      <c r="E33" s="8">
        <f>INT(MAX('task-16'!$B4:$B136)-D33)</f>
        <v>83</v>
      </c>
      <c r="F33" t="str">
        <f t="shared" si="0"/>
        <v>Repeat Customer</v>
      </c>
      <c r="G33" s="4"/>
      <c r="H33" s="13" t="s">
        <v>259</v>
      </c>
      <c r="I33" s="13"/>
      <c r="J33" s="13"/>
      <c r="K33" s="13"/>
      <c r="L33" s="13"/>
      <c r="M33" s="13"/>
      <c r="N33" s="13"/>
      <c r="O33" s="13"/>
      <c r="P33" s="13"/>
    </row>
    <row r="34" spans="1:16" x14ac:dyDescent="0.3">
      <c r="A34" s="4" t="s">
        <v>41</v>
      </c>
      <c r="B34">
        <f>COUNTIF('task-16'!$C4:$C136,A34)</f>
        <v>4</v>
      </c>
      <c r="C34" s="7">
        <f>_xlfn.MINIFS('task-16'!$B4:$B136,'task-16'!$C4:$C136,A34)</f>
        <v>46057.622916666667</v>
      </c>
      <c r="D34" s="7">
        <f>_xlfn.MAXIFS('task-16'!$B4:$B136,'task-16'!$C4:$C136,A34)</f>
        <v>46125.457638888889</v>
      </c>
      <c r="E34" s="8">
        <f>INT(MAX('task-16'!$B4:$B136)-D34)</f>
        <v>46</v>
      </c>
      <c r="F34" t="str">
        <f t="shared" si="0"/>
        <v>Repeat Customer</v>
      </c>
      <c r="G34" s="4"/>
      <c r="H34" s="4"/>
    </row>
    <row r="35" spans="1:16" x14ac:dyDescent="0.3">
      <c r="A35" s="4" t="s">
        <v>138</v>
      </c>
      <c r="B35">
        <f>COUNTIF('task-16'!$C4:$C136,A35)</f>
        <v>1</v>
      </c>
      <c r="C35" s="7">
        <f>_xlfn.MINIFS('task-16'!$B4:$B136,'task-16'!$C4:$C136,A35)</f>
        <v>46025.796527777777</v>
      </c>
      <c r="D35" s="7">
        <f>_xlfn.MAXIFS('task-16'!$B4:$B136,'task-16'!$C4:$C136,A35)</f>
        <v>46025.796527777777</v>
      </c>
      <c r="E35" s="8">
        <f>INT(MAX('task-16'!$B4:$B136)-D35)</f>
        <v>145</v>
      </c>
      <c r="F35" t="str">
        <f t="shared" si="0"/>
        <v>Lost Customer</v>
      </c>
      <c r="G35" s="4"/>
      <c r="H35" s="4"/>
    </row>
    <row r="36" spans="1:16" x14ac:dyDescent="0.3">
      <c r="A36" s="4" t="s">
        <v>179</v>
      </c>
      <c r="B36">
        <f>COUNTIF('task-16'!$C4:$C136,A36)</f>
        <v>1</v>
      </c>
      <c r="C36" s="7">
        <f>_xlfn.MINIFS('task-16'!$B4:$B136,'task-16'!$C4:$C136,A36)</f>
        <v>46093.541666666664</v>
      </c>
      <c r="D36" s="7">
        <f>_xlfn.MAXIFS('task-16'!$B4:$B136,'task-16'!$C4:$C136,A36)</f>
        <v>46093.541666666664</v>
      </c>
      <c r="E36" s="8">
        <f>INT(MAX('task-16'!$B4:$B136)-D36)</f>
        <v>78</v>
      </c>
      <c r="F36" t="str">
        <f t="shared" ref="F36:F67" si="2">IF(E36&gt;90,"Lost Customer",IF(B36=1,"One-Time Customer","Repeat Customer"))</f>
        <v>One-Time Customer</v>
      </c>
      <c r="G36" s="4"/>
      <c r="H36" s="4"/>
    </row>
    <row r="37" spans="1:16" x14ac:dyDescent="0.3">
      <c r="A37" s="4" t="s">
        <v>47</v>
      </c>
      <c r="B37">
        <f>COUNTIF('task-16'!$C4:$C136,A37)</f>
        <v>5</v>
      </c>
      <c r="C37" s="7">
        <f>_xlfn.MINIFS('task-16'!$B4:$B136,'task-16'!$C4:$C136,A37)</f>
        <v>46082.859722222223</v>
      </c>
      <c r="D37" s="7">
        <f>_xlfn.MAXIFS('task-16'!$B4:$B136,'task-16'!$C4:$C136,A37)</f>
        <v>46157.647222222222</v>
      </c>
      <c r="E37" s="8">
        <f>INT(MAX('task-16'!$B4:$B136)-D37)</f>
        <v>14</v>
      </c>
      <c r="F37" t="str">
        <f t="shared" si="2"/>
        <v>Repeat Customer</v>
      </c>
      <c r="G37" s="4"/>
      <c r="H37" s="4"/>
    </row>
    <row r="38" spans="1:16" x14ac:dyDescent="0.3">
      <c r="A38" s="4" t="s">
        <v>126</v>
      </c>
      <c r="B38">
        <f>COUNTIF('task-16'!$C4:$C136,A38)</f>
        <v>3</v>
      </c>
      <c r="C38" s="7">
        <f>_xlfn.MINIFS('task-16'!$B4:$B136,'task-16'!$C4:$C136,A38)</f>
        <v>46077.8</v>
      </c>
      <c r="D38" s="7">
        <f>_xlfn.MAXIFS('task-16'!$B4:$B136,'task-16'!$C4:$C136,A38)</f>
        <v>46100.666666666664</v>
      </c>
      <c r="E38" s="8">
        <f>INT(MAX('task-16'!$B4:$B136)-D38)</f>
        <v>71</v>
      </c>
      <c r="F38" t="str">
        <f t="shared" si="2"/>
        <v>Repeat Customer</v>
      </c>
      <c r="G38" s="4"/>
      <c r="H38" s="4"/>
    </row>
    <row r="39" spans="1:16" x14ac:dyDescent="0.3">
      <c r="A39" s="4" t="s">
        <v>225</v>
      </c>
      <c r="B39">
        <f>COUNTIF('task-16'!$C4:$C136,A39)</f>
        <v>1</v>
      </c>
      <c r="C39" s="7">
        <f>_xlfn.MINIFS('task-16'!$B4:$B136,'task-16'!$C4:$C136,A39)</f>
        <v>46160.505555555559</v>
      </c>
      <c r="D39" s="7">
        <f>_xlfn.MAXIFS('task-16'!$B4:$B136,'task-16'!$C4:$C136,A39)</f>
        <v>46160.505555555559</v>
      </c>
      <c r="E39" s="8">
        <f>INT(MAX('task-16'!$B4:$B136)-D39)</f>
        <v>11</v>
      </c>
      <c r="F39" t="str">
        <f t="shared" si="2"/>
        <v>One-Time Customer</v>
      </c>
      <c r="G39" s="4"/>
      <c r="H39" s="4"/>
    </row>
    <row r="40" spans="1:16" x14ac:dyDescent="0.3">
      <c r="A40" s="4" t="s">
        <v>80</v>
      </c>
      <c r="B40">
        <f>COUNTIF('task-16'!$C4:$C136,A40)</f>
        <v>2</v>
      </c>
      <c r="C40" s="7">
        <f>_xlfn.MINIFS('task-16'!$B4:$B136,'task-16'!$C4:$C136,A40)</f>
        <v>46135.768055555556</v>
      </c>
      <c r="D40" s="7">
        <f>_xlfn.MAXIFS('task-16'!$B4:$B136,'task-16'!$C4:$C136,A40)</f>
        <v>46161.824999999997</v>
      </c>
      <c r="E40" s="8">
        <f>INT(MAX('task-16'!$B4:$B136)-D40)</f>
        <v>9</v>
      </c>
      <c r="F40" t="str">
        <f t="shared" si="2"/>
        <v>Repeat Customer</v>
      </c>
      <c r="G40" s="4"/>
      <c r="H40" s="4"/>
    </row>
    <row r="41" spans="1:16" x14ac:dyDescent="0.3">
      <c r="A41" s="4" t="s">
        <v>115</v>
      </c>
      <c r="B41">
        <f>COUNTIF('task-16'!$C4:$C136,A41)</f>
        <v>2</v>
      </c>
      <c r="C41" s="7">
        <f>_xlfn.MINIFS('task-16'!$B4:$B136,'task-16'!$C4:$C136,A41)</f>
        <v>46072.477777777778</v>
      </c>
      <c r="D41" s="7">
        <f>_xlfn.MAXIFS('task-16'!$B4:$B136,'task-16'!$C4:$C136,A41)</f>
        <v>46171.526388888888</v>
      </c>
      <c r="E41" s="8">
        <f>INT(MAX('task-16'!$B4:$B136)-D41)</f>
        <v>0</v>
      </c>
      <c r="F41" t="str">
        <f t="shared" si="2"/>
        <v>Repeat Customer</v>
      </c>
      <c r="G41" s="4"/>
      <c r="H41" s="4"/>
    </row>
    <row r="42" spans="1:16" x14ac:dyDescent="0.3">
      <c r="A42" s="4" t="s">
        <v>169</v>
      </c>
      <c r="B42">
        <f>COUNTIF('task-16'!$C4:$C136,A42)</f>
        <v>2</v>
      </c>
      <c r="C42" s="7">
        <f>_xlfn.MINIFS('task-16'!$B4:$B136,'task-16'!$C4:$C136,A42)</f>
        <v>46053.395138888889</v>
      </c>
      <c r="D42" s="7">
        <f>_xlfn.MAXIFS('task-16'!$B4:$B136,'task-16'!$C4:$C136,A42)</f>
        <v>46107.651388888888</v>
      </c>
      <c r="E42" s="8">
        <f>INT(MAX('task-16'!$B4:$B136)-D42)</f>
        <v>64</v>
      </c>
      <c r="F42" t="str">
        <f t="shared" si="2"/>
        <v>Repeat Customer</v>
      </c>
      <c r="G42" s="4"/>
      <c r="H42" s="4"/>
    </row>
    <row r="43" spans="1:16" x14ac:dyDescent="0.3">
      <c r="A43" s="4" t="s">
        <v>18</v>
      </c>
      <c r="B43">
        <f>COUNTIF('task-16'!$C4:$C136,A43)</f>
        <v>4</v>
      </c>
      <c r="C43" s="7">
        <f>_xlfn.MINIFS('task-16'!$B4:$B136,'task-16'!$C4:$C136,A43)</f>
        <v>46068.577777777777</v>
      </c>
      <c r="D43" s="7">
        <f>_xlfn.MAXIFS('task-16'!$B4:$B136,'task-16'!$C4:$C136,A43)</f>
        <v>46154.463194444441</v>
      </c>
      <c r="E43" s="8">
        <f>INT(MAX('task-16'!$B4:$B136)-D43)</f>
        <v>17</v>
      </c>
      <c r="F43" t="str">
        <f t="shared" si="2"/>
        <v>Repeat Customer</v>
      </c>
      <c r="G43" s="4"/>
      <c r="H43" s="4"/>
    </row>
    <row r="44" spans="1:16" x14ac:dyDescent="0.3">
      <c r="A44" s="4" t="s">
        <v>117</v>
      </c>
      <c r="B44">
        <f>COUNTIF('task-16'!$C4:$C136,A44)</f>
        <v>5</v>
      </c>
      <c r="C44" s="7">
        <f>_xlfn.MINIFS('task-16'!$B4:$B136,'task-16'!$C4:$C136,A44)</f>
        <v>46032.779166666667</v>
      </c>
      <c r="D44" s="7">
        <f>_xlfn.MAXIFS('task-16'!$B4:$B136,'task-16'!$C4:$C136,A44)</f>
        <v>46171.647222222222</v>
      </c>
      <c r="E44" s="8">
        <f>INT(MAX('task-16'!$B4:$B136)-D44)</f>
        <v>0</v>
      </c>
      <c r="F44" t="str">
        <f t="shared" si="2"/>
        <v>Repeat Customer</v>
      </c>
      <c r="G44" s="4"/>
      <c r="H44" s="4"/>
    </row>
    <row r="45" spans="1:16" x14ac:dyDescent="0.3">
      <c r="A45" s="4" t="s">
        <v>72</v>
      </c>
      <c r="B45">
        <f>COUNTIF('task-16'!$C4:$C136,A45)</f>
        <v>3</v>
      </c>
      <c r="C45" s="7">
        <f>_xlfn.MINIFS('task-16'!$B4:$B136,'task-16'!$C4:$C136,A45)</f>
        <v>46074.76458333333</v>
      </c>
      <c r="D45" s="7">
        <f>_xlfn.MAXIFS('task-16'!$B4:$B136,'task-16'!$C4:$C136,A45)</f>
        <v>46171.79583333333</v>
      </c>
      <c r="E45" s="8">
        <f>INT(MAX('task-16'!$B4:$B136)-D45)</f>
        <v>0</v>
      </c>
      <c r="F45" t="str">
        <f t="shared" si="2"/>
        <v>Repeat Customer</v>
      </c>
      <c r="G45" s="4"/>
      <c r="H45" s="4"/>
    </row>
    <row r="46" spans="1:16" x14ac:dyDescent="0.3">
      <c r="A46" s="4" t="s">
        <v>184</v>
      </c>
      <c r="B46">
        <f>COUNTIF('task-16'!$C4:$C136,A46)</f>
        <v>1</v>
      </c>
      <c r="C46" s="7">
        <f>_xlfn.MINIFS('task-16'!$B4:$B136,'task-16'!$C4:$C136,A46)</f>
        <v>46095.814583333333</v>
      </c>
      <c r="D46" s="7">
        <f>_xlfn.MAXIFS('task-16'!$B4:$B136,'task-16'!$C4:$C136,A46)</f>
        <v>46095.814583333333</v>
      </c>
      <c r="E46" s="8">
        <f>INT(MAX('task-16'!$B4:$B136)-D46)</f>
        <v>75</v>
      </c>
      <c r="F46" t="str">
        <f t="shared" si="2"/>
        <v>One-Time Customer</v>
      </c>
      <c r="G46" s="4"/>
      <c r="H46" s="4"/>
    </row>
    <row r="47" spans="1:16" x14ac:dyDescent="0.3">
      <c r="A47" s="4" t="s">
        <v>214</v>
      </c>
      <c r="B47">
        <f>COUNTIF('task-16'!$C4:$C136,A47)</f>
        <v>1</v>
      </c>
      <c r="C47" s="7">
        <f>_xlfn.MINIFS('task-16'!$B4:$B136,'task-16'!$C4:$C136,A47)</f>
        <v>46153.615277777775</v>
      </c>
      <c r="D47" s="7">
        <f>_xlfn.MAXIFS('task-16'!$B4:$B136,'task-16'!$C4:$C136,A47)</f>
        <v>46153.615277777775</v>
      </c>
      <c r="E47" s="8">
        <f>INT(MAX('task-16'!$B4:$B136)-D47)</f>
        <v>18</v>
      </c>
      <c r="F47" t="str">
        <f t="shared" si="2"/>
        <v>One-Time Customer</v>
      </c>
      <c r="G47" s="4"/>
      <c r="H47" s="4"/>
    </row>
    <row r="48" spans="1:16" x14ac:dyDescent="0.3">
      <c r="A48" s="4" t="s">
        <v>95</v>
      </c>
      <c r="B48">
        <f>COUNTIF('task-16'!$C4:$C136,A48)</f>
        <v>4</v>
      </c>
      <c r="C48" s="7">
        <f>_xlfn.MINIFS('task-16'!$B4:$B136,'task-16'!$C4:$C136,A48)</f>
        <v>46048.592361111114</v>
      </c>
      <c r="D48" s="7">
        <f>_xlfn.MAXIFS('task-16'!$B4:$B136,'task-16'!$C4:$C136,A48)</f>
        <v>46171.561111111114</v>
      </c>
      <c r="E48" s="8">
        <f>INT(MAX('task-16'!$B4:$B136)-D48)</f>
        <v>0</v>
      </c>
      <c r="F48" t="str">
        <f t="shared" si="2"/>
        <v>Repeat Customer</v>
      </c>
      <c r="G48" s="4"/>
      <c r="H48" s="4"/>
    </row>
    <row r="49" spans="1:8" x14ac:dyDescent="0.3">
      <c r="A49" s="4" t="s">
        <v>236</v>
      </c>
      <c r="B49">
        <f>COUNTIF('task-16'!$C4:$C136,A49)</f>
        <v>1</v>
      </c>
      <c r="C49" s="7">
        <f>_xlfn.MINIFS('task-16'!$B4:$B136,'task-16'!$C4:$C136,A49)</f>
        <v>46170.386111111111</v>
      </c>
      <c r="D49" s="7">
        <f>_xlfn.MAXIFS('task-16'!$B4:$B136,'task-16'!$C4:$C136,A49)</f>
        <v>46170.386111111111</v>
      </c>
      <c r="E49" s="8">
        <f>INT(MAX('task-16'!$B4:$B136)-D49)</f>
        <v>1</v>
      </c>
      <c r="F49" t="str">
        <f t="shared" si="2"/>
        <v>One-Time Customer</v>
      </c>
      <c r="G49" s="4"/>
      <c r="H49" s="4"/>
    </row>
    <row r="50" spans="1:8" x14ac:dyDescent="0.3">
      <c r="A50" s="4" t="s">
        <v>174</v>
      </c>
      <c r="B50">
        <f>COUNTIF('task-16'!$C4:$C136,A50)</f>
        <v>1</v>
      </c>
      <c r="C50" s="7">
        <f>_xlfn.MINIFS('task-16'!$B4:$B136,'task-16'!$C4:$C136,A50)</f>
        <v>46086.869444444441</v>
      </c>
      <c r="D50" s="7">
        <f>_xlfn.MAXIFS('task-16'!$B4:$B136,'task-16'!$C4:$C136,A50)</f>
        <v>46086.869444444441</v>
      </c>
      <c r="E50" s="8">
        <f>INT(MAX('task-16'!$B4:$B136)-D50)</f>
        <v>84</v>
      </c>
      <c r="F50" t="str">
        <f t="shared" si="2"/>
        <v>One-Time Customer</v>
      </c>
      <c r="G50" s="4"/>
      <c r="H50" s="4"/>
    </row>
    <row r="51" spans="1:8" x14ac:dyDescent="0.3">
      <c r="A51" s="4" t="s">
        <v>155</v>
      </c>
      <c r="B51">
        <f>COUNTIF('task-16'!$C4:$C136,A51)</f>
        <v>1</v>
      </c>
      <c r="C51" s="7">
        <f>_xlfn.MINIFS('task-16'!$B4:$B136,'task-16'!$C4:$C136,A51)</f>
        <v>46041.623611111114</v>
      </c>
      <c r="D51" s="7">
        <f>_xlfn.MAXIFS('task-16'!$B4:$B136,'task-16'!$C4:$C136,A51)</f>
        <v>46041.623611111114</v>
      </c>
      <c r="E51" s="8">
        <f>INT(MAX('task-16'!$B4:$B136)-D51)</f>
        <v>130</v>
      </c>
      <c r="F51" t="str">
        <f t="shared" si="2"/>
        <v>Lost Customer</v>
      </c>
      <c r="G51" s="4"/>
      <c r="H51" s="4"/>
    </row>
    <row r="52" spans="1:8" x14ac:dyDescent="0.3">
      <c r="A52" s="4" t="s">
        <v>66</v>
      </c>
      <c r="B52">
        <f>COUNTIF('task-16'!$C4:$C136,A52)</f>
        <v>3</v>
      </c>
      <c r="C52" s="7">
        <f>_xlfn.MINIFS('task-16'!$B4:$B136,'task-16'!$C4:$C136,A52)</f>
        <v>46093.503472222219</v>
      </c>
      <c r="D52" s="7">
        <f>_xlfn.MAXIFS('task-16'!$B4:$B136,'task-16'!$C4:$C136,A52)</f>
        <v>46168.625</v>
      </c>
      <c r="E52" s="8">
        <f>INT(MAX('task-16'!$B4:$B136)-D52)</f>
        <v>3</v>
      </c>
      <c r="F52" t="str">
        <f t="shared" si="2"/>
        <v>Repeat Customer</v>
      </c>
      <c r="G52" s="4"/>
      <c r="H52" s="4"/>
    </row>
    <row r="53" spans="1:8" x14ac:dyDescent="0.3">
      <c r="A53" s="4" t="s">
        <v>105</v>
      </c>
      <c r="B53">
        <f>COUNTIF('task-16'!$C4:$C136,A53)</f>
        <v>1</v>
      </c>
      <c r="C53" s="7">
        <f>_xlfn.MINIFS('task-16'!$B4:$B136,'task-16'!$C4:$C136,A53)</f>
        <v>46059.798611111109</v>
      </c>
      <c r="D53" s="7">
        <f>_xlfn.MAXIFS('task-16'!$B4:$B136,'task-16'!$C4:$C136,A53)</f>
        <v>46059.798611111109</v>
      </c>
      <c r="E53" s="8">
        <f>INT(MAX('task-16'!$B4:$B136)-D53)</f>
        <v>111</v>
      </c>
      <c r="F53" t="str">
        <f t="shared" si="2"/>
        <v>Lost Customer</v>
      </c>
      <c r="G53" s="4"/>
      <c r="H53" s="4"/>
    </row>
    <row r="54" spans="1:8" x14ac:dyDescent="0.3">
      <c r="A54" s="4" t="s">
        <v>49</v>
      </c>
      <c r="B54">
        <f>COUNTIF('task-16'!$C4:$C136,A54)</f>
        <v>3</v>
      </c>
      <c r="C54" s="7">
        <f>_xlfn.MINIFS('task-16'!$B4:$B136,'task-16'!$C4:$C136,A54)</f>
        <v>46027.509027777778</v>
      </c>
      <c r="D54" s="7">
        <f>_xlfn.MAXIFS('task-16'!$B4:$B136,'task-16'!$C4:$C136,A54)</f>
        <v>46156.334722222222</v>
      </c>
      <c r="E54" s="8">
        <f>INT(MAX('task-16'!$B4:$B136)-D54)</f>
        <v>15</v>
      </c>
      <c r="F54" t="str">
        <f t="shared" si="2"/>
        <v>Repeat Customer</v>
      </c>
      <c r="G54" s="4"/>
      <c r="H54" s="4"/>
    </row>
    <row r="55" spans="1:8" x14ac:dyDescent="0.3">
      <c r="A55" s="4" t="s">
        <v>197</v>
      </c>
      <c r="B55">
        <f>COUNTIF('task-16'!$C4:$C136,A55)</f>
        <v>1</v>
      </c>
      <c r="C55" s="7">
        <f>_xlfn.MINIFS('task-16'!$B4:$B136,'task-16'!$C4:$C136,A55)</f>
        <v>46105.76458333333</v>
      </c>
      <c r="D55" s="7">
        <f>_xlfn.MAXIFS('task-16'!$B4:$B136,'task-16'!$C4:$C136,A55)</f>
        <v>46105.76458333333</v>
      </c>
      <c r="E55" s="8">
        <f>INT(MAX('task-16'!$B4:$B136)-D55)</f>
        <v>66</v>
      </c>
      <c r="F55" t="str">
        <f t="shared" si="2"/>
        <v>One-Time Customer</v>
      </c>
      <c r="G55" s="4"/>
      <c r="H55" s="4"/>
    </row>
    <row r="56" spans="1:8" x14ac:dyDescent="0.3">
      <c r="A56" s="4" t="s">
        <v>53</v>
      </c>
      <c r="B56">
        <f>COUNTIF('task-16'!$C4:$C136,A56)</f>
        <v>1</v>
      </c>
      <c r="C56" s="7">
        <f>_xlfn.MINIFS('task-16'!$B4:$B136,'task-16'!$C4:$C136,A56)</f>
        <v>46121.702777777777</v>
      </c>
      <c r="D56" s="7">
        <f>_xlfn.MAXIFS('task-16'!$B4:$B136,'task-16'!$C4:$C136,A56)</f>
        <v>46121.702777777777</v>
      </c>
      <c r="E56" s="8">
        <f>INT(MAX('task-16'!$B4:$B136)-D56)</f>
        <v>50</v>
      </c>
      <c r="F56" t="str">
        <f t="shared" si="2"/>
        <v>One-Time Customer</v>
      </c>
      <c r="G56" s="4"/>
      <c r="H56" s="4"/>
    </row>
    <row r="57" spans="1:8" x14ac:dyDescent="0.3">
      <c r="A57" s="4" t="s">
        <v>219</v>
      </c>
      <c r="B57">
        <f>COUNTIF('task-16'!$C4:$C136,A57)</f>
        <v>1</v>
      </c>
      <c r="C57" s="7">
        <f>_xlfn.MINIFS('task-16'!$B4:$B136,'task-16'!$C4:$C136,A57)</f>
        <v>46155.440972222219</v>
      </c>
      <c r="D57" s="7">
        <f>_xlfn.MAXIFS('task-16'!$B4:$B136,'task-16'!$C4:$C136,A57)</f>
        <v>46155.440972222219</v>
      </c>
      <c r="E57" s="8">
        <f>INT(MAX('task-16'!$B4:$B136)-D57)</f>
        <v>16</v>
      </c>
      <c r="F57" t="str">
        <f t="shared" si="2"/>
        <v>One-Time Customer</v>
      </c>
      <c r="G57" s="4"/>
      <c r="H57" s="4"/>
    </row>
    <row r="58" spans="1:8" x14ac:dyDescent="0.3">
      <c r="A58" s="4" t="s">
        <v>57</v>
      </c>
      <c r="B58">
        <f>COUNTIF('task-16'!$C4:$C136,A58)</f>
        <v>5</v>
      </c>
      <c r="C58" s="7">
        <f>_xlfn.MINIFS('task-16'!$B4:$B136,'task-16'!$C4:$C136,A58)</f>
        <v>46051.390277777777</v>
      </c>
      <c r="D58" s="7">
        <f>_xlfn.MAXIFS('task-16'!$B4:$B136,'task-16'!$C4:$C136,A58)</f>
        <v>46164.560416666667</v>
      </c>
      <c r="E58" s="8">
        <f>INT(MAX('task-16'!$B4:$B136)-D58)</f>
        <v>7</v>
      </c>
      <c r="F58" t="str">
        <f t="shared" si="2"/>
        <v>Repeat Customer</v>
      </c>
      <c r="G58" s="4"/>
      <c r="H58" s="4"/>
    </row>
    <row r="59" spans="1:8" x14ac:dyDescent="0.3">
      <c r="A59" s="4" t="s">
        <v>76</v>
      </c>
      <c r="B59">
        <f>COUNTIF('task-16'!$C4:$C136,A59)</f>
        <v>1</v>
      </c>
      <c r="C59" s="7">
        <f>_xlfn.MINIFS('task-16'!$B4:$B136,'task-16'!$C4:$C136,A59)</f>
        <v>46132.682638888888</v>
      </c>
      <c r="D59" s="7">
        <f>_xlfn.MAXIFS('task-16'!$B4:$B136,'task-16'!$C4:$C136,A59)</f>
        <v>46132.682638888888</v>
      </c>
      <c r="E59" s="8">
        <f>INT(MAX('task-16'!$B4:$B136)-D59)</f>
        <v>39</v>
      </c>
      <c r="F59" t="str">
        <f t="shared" si="2"/>
        <v>One-Time Customer</v>
      </c>
      <c r="G59" s="4"/>
      <c r="H59" s="4"/>
    </row>
    <row r="60" spans="1:8" x14ac:dyDescent="0.3">
      <c r="A60" s="4" t="s">
        <v>86</v>
      </c>
      <c r="B60">
        <f>COUNTIF('task-16'!$C4:$C136,A60)</f>
        <v>3</v>
      </c>
      <c r="C60" s="7">
        <f>_xlfn.MINIFS('task-16'!$B4:$B136,'task-16'!$C4:$C136,A60)</f>
        <v>46045.384722222225</v>
      </c>
      <c r="D60" s="7">
        <f>_xlfn.MAXIFS('task-16'!$B4:$B136,'task-16'!$C4:$C136,A60)</f>
        <v>46137.402777777781</v>
      </c>
      <c r="E60" s="8">
        <f>INT(MAX('task-16'!$B4:$B136)-D60)</f>
        <v>34</v>
      </c>
      <c r="F60" t="str">
        <f t="shared" si="2"/>
        <v>Repeat Customer</v>
      </c>
      <c r="G60" s="4"/>
      <c r="H60" s="4"/>
    </row>
    <row r="61" spans="1:8" x14ac:dyDescent="0.3">
      <c r="A61" s="4" t="s">
        <v>88</v>
      </c>
      <c r="B61">
        <f>COUNTIF('task-16'!$C4:$C136,A61)</f>
        <v>3</v>
      </c>
      <c r="C61" s="7">
        <f>_xlfn.MINIFS('task-16'!$B4:$B136,'task-16'!$C4:$C136,A61)</f>
        <v>46138.729166666664</v>
      </c>
      <c r="D61" s="7">
        <f>_xlfn.MAXIFS('task-16'!$B4:$B136,'task-16'!$C4:$C136,A61)</f>
        <v>46165.768750000003</v>
      </c>
      <c r="E61" s="8">
        <f>INT(MAX('task-16'!$B4:$B136)-D61)</f>
        <v>6</v>
      </c>
      <c r="F61" t="str">
        <f t="shared" si="2"/>
        <v>Repeat Customer</v>
      </c>
      <c r="G61" s="4"/>
      <c r="H61" s="4"/>
    </row>
    <row r="62" spans="1:8" x14ac:dyDescent="0.3">
      <c r="A62" s="4" t="s">
        <v>64</v>
      </c>
      <c r="B62">
        <f>COUNTIF('task-16'!$C4:$C136,A62)</f>
        <v>1</v>
      </c>
      <c r="C62" s="7">
        <f>_xlfn.MINIFS('task-16'!$B4:$B136,'task-16'!$C4:$C136,A62)</f>
        <v>46127.681250000001</v>
      </c>
      <c r="D62" s="7">
        <f>_xlfn.MAXIFS('task-16'!$B4:$B136,'task-16'!$C4:$C136,A62)</f>
        <v>46127.681250000001</v>
      </c>
      <c r="E62" s="8">
        <f>INT(MAX('task-16'!$B4:$B136)-D62)</f>
        <v>44</v>
      </c>
      <c r="F62" t="str">
        <f t="shared" si="2"/>
        <v>One-Time Customer</v>
      </c>
      <c r="G62" s="4"/>
      <c r="H62" s="4"/>
    </row>
    <row r="63" spans="1:8" x14ac:dyDescent="0.3">
      <c r="A63" s="4" t="s">
        <v>97</v>
      </c>
      <c r="B63">
        <f>COUNTIF('task-16'!$C4:$C136,A63)</f>
        <v>1</v>
      </c>
      <c r="C63" s="7">
        <f>_xlfn.MINIFS('task-16'!$B4:$B136,'task-16'!$C4:$C136,A63)</f>
        <v>46054.535416666666</v>
      </c>
      <c r="D63" s="7">
        <f>_xlfn.MAXIFS('task-16'!$B4:$B136,'task-16'!$C4:$C136,A63)</f>
        <v>46054.535416666666</v>
      </c>
      <c r="E63" s="8">
        <f>INT(MAX('task-16'!$B4:$B136)-D63)</f>
        <v>117</v>
      </c>
      <c r="F63" t="str">
        <f t="shared" si="2"/>
        <v>Lost Customer</v>
      </c>
      <c r="G63" s="4"/>
      <c r="H63" s="4"/>
    </row>
    <row r="64" spans="1:8" x14ac:dyDescent="0.3">
      <c r="A64" s="4" t="s">
        <v>147</v>
      </c>
      <c r="B64">
        <f>COUNTIF('task-16'!$C4:$C136,A64)</f>
        <v>1</v>
      </c>
      <c r="C64" s="7">
        <f>_xlfn.MINIFS('task-16'!$B4:$B136,'task-16'!$C4:$C136,A64)</f>
        <v>46036.633333333331</v>
      </c>
      <c r="D64" s="7">
        <f>_xlfn.MAXIFS('task-16'!$B4:$B136,'task-16'!$C4:$C136,A64)</f>
        <v>46036.633333333331</v>
      </c>
      <c r="E64" s="8">
        <f>INT(MAX('task-16'!$B4:$B136)-D64)</f>
        <v>135</v>
      </c>
      <c r="F64" t="str">
        <f t="shared" si="2"/>
        <v>Lost Customer</v>
      </c>
      <c r="G64" s="4"/>
      <c r="H64" s="4"/>
    </row>
    <row r="65" spans="1:8" x14ac:dyDescent="0.3">
      <c r="A65" s="4" t="s">
        <v>35</v>
      </c>
      <c r="B65">
        <f>COUNTIF('task-16'!$C4:$C136,A65)</f>
        <v>2</v>
      </c>
      <c r="C65" s="7">
        <f>_xlfn.MINIFS('task-16'!$B4:$B136,'task-16'!$C4:$C136,A65)</f>
        <v>46033.513194444444</v>
      </c>
      <c r="D65" s="7">
        <f>_xlfn.MAXIFS('task-16'!$B4:$B136,'task-16'!$C4:$C136,A65)</f>
        <v>46119.460416666669</v>
      </c>
      <c r="E65" s="8">
        <f>INT(MAX('task-16'!$B4:$B136)-D65)</f>
        <v>52</v>
      </c>
      <c r="F65" t="str">
        <f t="shared" si="2"/>
        <v>Repeat Customer</v>
      </c>
      <c r="G65" s="4"/>
      <c r="H65" s="4"/>
    </row>
    <row r="66" spans="1:8" x14ac:dyDescent="0.3">
      <c r="A66" s="4" t="s">
        <v>207</v>
      </c>
      <c r="B66">
        <f>COUNTIF('task-16'!$C4:$C136,A66)</f>
        <v>1</v>
      </c>
      <c r="C66" s="7">
        <f>_xlfn.MINIFS('task-16'!$B4:$B136,'task-16'!$C4:$C136,A66)</f>
        <v>46144.461111111108</v>
      </c>
      <c r="D66" s="7">
        <f>_xlfn.MAXIFS('task-16'!$B4:$B136,'task-16'!$C4:$C136,A66)</f>
        <v>46144.461111111108</v>
      </c>
      <c r="E66" s="8">
        <f>INT(MAX('task-16'!$B4:$B136)-D66)</f>
        <v>27</v>
      </c>
      <c r="F66" t="str">
        <f t="shared" si="2"/>
        <v>One-Time Customer</v>
      </c>
      <c r="G66" s="4"/>
      <c r="H66" s="4"/>
    </row>
    <row r="67" spans="1:8" x14ac:dyDescent="0.3">
      <c r="A67" s="4" t="s">
        <v>44</v>
      </c>
      <c r="B67">
        <f>COUNTIF('task-16'!$C4:$C136,A67)</f>
        <v>1</v>
      </c>
      <c r="C67" s="7">
        <f>_xlfn.MINIFS('task-16'!$B4:$B136,'task-16'!$C4:$C136,A67)</f>
        <v>46120.674305555556</v>
      </c>
      <c r="D67" s="7">
        <f>_xlfn.MAXIFS('task-16'!$B4:$B136,'task-16'!$C4:$C136,A67)</f>
        <v>46120.674305555556</v>
      </c>
      <c r="E67" s="8">
        <f>INT(MAX('task-16'!$B4:$B136)-D67)</f>
        <v>51</v>
      </c>
      <c r="F67" t="str">
        <f t="shared" si="2"/>
        <v>One-Time Customer</v>
      </c>
      <c r="G67" s="4"/>
      <c r="H67" s="4"/>
    </row>
    <row r="68" spans="1:8" x14ac:dyDescent="0.3">
      <c r="A68" s="4" t="s">
        <v>107</v>
      </c>
      <c r="B68">
        <f>COUNTIF('task-16'!$C4:$C136,A68)</f>
        <v>4</v>
      </c>
      <c r="C68" s="7">
        <f>_xlfn.MINIFS('task-16'!$B4:$B136,'task-16'!$C4:$C136,A68)</f>
        <v>46049.405555555553</v>
      </c>
      <c r="D68" s="7">
        <f>_xlfn.MAXIFS('task-16'!$B4:$B136,'task-16'!$C4:$C136,A68)</f>
        <v>46099.763194444444</v>
      </c>
      <c r="E68" s="8">
        <f>INT(MAX('task-16'!$B4:$B136)-D68)</f>
        <v>72</v>
      </c>
      <c r="F68" t="str">
        <f t="shared" ref="F68:F99" si="3">IF(E68&gt;90,"Lost Customer",IF(B68=1,"One-Time Customer","Repeat Customer"))</f>
        <v>Repeat Customer</v>
      </c>
      <c r="G68" s="4"/>
      <c r="H68" s="4"/>
    </row>
    <row r="69" spans="1:8" x14ac:dyDescent="0.3">
      <c r="G69" s="4"/>
      <c r="H69" s="4"/>
    </row>
    <row r="70" spans="1:8" x14ac:dyDescent="0.3">
      <c r="G70" s="4"/>
      <c r="H70" s="4"/>
    </row>
    <row r="71" spans="1:8" x14ac:dyDescent="0.3">
      <c r="G71" s="4"/>
      <c r="H71" s="4"/>
    </row>
    <row r="72" spans="1:8" x14ac:dyDescent="0.3">
      <c r="G72" s="4"/>
      <c r="H72" s="4"/>
    </row>
    <row r="73" spans="1:8" x14ac:dyDescent="0.3">
      <c r="G73" s="4"/>
      <c r="H73" s="4"/>
    </row>
    <row r="74" spans="1:8" x14ac:dyDescent="0.3">
      <c r="G74" s="4"/>
      <c r="H74" s="4"/>
    </row>
    <row r="75" spans="1:8" x14ac:dyDescent="0.3">
      <c r="G75" s="4"/>
      <c r="H75" s="4"/>
    </row>
    <row r="76" spans="1:8" x14ac:dyDescent="0.3">
      <c r="G76" s="4"/>
      <c r="H76" s="4"/>
    </row>
    <row r="77" spans="1:8" x14ac:dyDescent="0.3">
      <c r="G77" s="4"/>
      <c r="H77" s="4"/>
    </row>
    <row r="78" spans="1:8" x14ac:dyDescent="0.3">
      <c r="G78" s="4"/>
      <c r="H78" s="4"/>
    </row>
    <row r="79" spans="1:8" x14ac:dyDescent="0.3">
      <c r="G79" s="4"/>
      <c r="H79" s="4"/>
    </row>
    <row r="80" spans="1:8" x14ac:dyDescent="0.3">
      <c r="G80" s="4"/>
      <c r="H80" s="4"/>
    </row>
    <row r="81" spans="7:8" x14ac:dyDescent="0.3">
      <c r="G81" s="4"/>
      <c r="H81" s="4"/>
    </row>
    <row r="82" spans="7:8" x14ac:dyDescent="0.3">
      <c r="G82" s="4"/>
      <c r="H82" s="4"/>
    </row>
    <row r="83" spans="7:8" x14ac:dyDescent="0.3">
      <c r="G83" s="4"/>
      <c r="H83" s="4"/>
    </row>
    <row r="84" spans="7:8" x14ac:dyDescent="0.3">
      <c r="G84" s="4"/>
      <c r="H84" s="4"/>
    </row>
    <row r="85" spans="7:8" x14ac:dyDescent="0.3">
      <c r="G85" s="4"/>
      <c r="H85" s="4"/>
    </row>
    <row r="86" spans="7:8" x14ac:dyDescent="0.3">
      <c r="G86" s="4"/>
      <c r="H86" s="4"/>
    </row>
    <row r="87" spans="7:8" x14ac:dyDescent="0.3">
      <c r="G87" s="4"/>
      <c r="H87" s="4"/>
    </row>
    <row r="88" spans="7:8" x14ac:dyDescent="0.3">
      <c r="G88" s="4"/>
      <c r="H88" s="4"/>
    </row>
    <row r="89" spans="7:8" x14ac:dyDescent="0.3">
      <c r="G89" s="4"/>
      <c r="H89" s="4"/>
    </row>
    <row r="90" spans="7:8" x14ac:dyDescent="0.3">
      <c r="G90" s="4"/>
      <c r="H90" s="4"/>
    </row>
    <row r="91" spans="7:8" x14ac:dyDescent="0.3">
      <c r="G91" s="4"/>
      <c r="H91" s="4"/>
    </row>
    <row r="92" spans="7:8" x14ac:dyDescent="0.3">
      <c r="G92" s="4"/>
      <c r="H92" s="4"/>
    </row>
    <row r="93" spans="7:8" x14ac:dyDescent="0.3">
      <c r="G93" s="4"/>
      <c r="H93" s="4"/>
    </row>
    <row r="94" spans="7:8" x14ac:dyDescent="0.3">
      <c r="G94" s="4"/>
      <c r="H94" s="4"/>
    </row>
    <row r="95" spans="7:8" x14ac:dyDescent="0.3">
      <c r="G95" s="4"/>
      <c r="H95" s="4"/>
    </row>
    <row r="96" spans="7:8" x14ac:dyDescent="0.3">
      <c r="G96" s="4"/>
      <c r="H96" s="4"/>
    </row>
    <row r="97" spans="7:8" x14ac:dyDescent="0.3">
      <c r="G97" s="4"/>
      <c r="H97" s="4"/>
    </row>
    <row r="98" spans="7:8" x14ac:dyDescent="0.3">
      <c r="G98" s="4"/>
      <c r="H98" s="4"/>
    </row>
    <row r="99" spans="7:8" x14ac:dyDescent="0.3">
      <c r="G99" s="4"/>
      <c r="H99" s="4"/>
    </row>
    <row r="100" spans="7:8" x14ac:dyDescent="0.3">
      <c r="G100" s="4"/>
      <c r="H100" s="4"/>
    </row>
    <row r="101" spans="7:8" x14ac:dyDescent="0.3">
      <c r="G101" s="4"/>
      <c r="H101" s="4"/>
    </row>
    <row r="102" spans="7:8" x14ac:dyDescent="0.3">
      <c r="G102" s="4"/>
      <c r="H102" s="4"/>
    </row>
    <row r="103" spans="7:8" x14ac:dyDescent="0.3">
      <c r="G103" s="4"/>
      <c r="H103" s="4"/>
    </row>
    <row r="104" spans="7:8" x14ac:dyDescent="0.3">
      <c r="G104" s="4"/>
      <c r="H104" s="4"/>
    </row>
    <row r="105" spans="7:8" x14ac:dyDescent="0.3">
      <c r="G105" s="4"/>
      <c r="H105" s="4"/>
    </row>
    <row r="106" spans="7:8" x14ac:dyDescent="0.3">
      <c r="G106" s="4"/>
      <c r="H106" s="4"/>
    </row>
    <row r="107" spans="7:8" x14ac:dyDescent="0.3">
      <c r="G107" s="4"/>
      <c r="H107" s="4"/>
    </row>
    <row r="108" spans="7:8" x14ac:dyDescent="0.3">
      <c r="G108" s="4"/>
      <c r="H108" s="4"/>
    </row>
    <row r="109" spans="7:8" x14ac:dyDescent="0.3">
      <c r="G109" s="4"/>
      <c r="H109" s="4"/>
    </row>
    <row r="110" spans="7:8" x14ac:dyDescent="0.3">
      <c r="G110" s="4"/>
      <c r="H110" s="4"/>
    </row>
    <row r="111" spans="7:8" x14ac:dyDescent="0.3">
      <c r="G111" s="4"/>
      <c r="H111" s="4"/>
    </row>
    <row r="112" spans="7:8" x14ac:dyDescent="0.3">
      <c r="G112" s="4"/>
      <c r="H112" s="4"/>
    </row>
    <row r="113" spans="7:8" x14ac:dyDescent="0.3">
      <c r="G113" s="4"/>
      <c r="H113" s="4"/>
    </row>
    <row r="114" spans="7:8" x14ac:dyDescent="0.3">
      <c r="G114" s="4"/>
      <c r="H114" s="4"/>
    </row>
    <row r="115" spans="7:8" x14ac:dyDescent="0.3">
      <c r="G115" s="4"/>
      <c r="H115" s="4"/>
    </row>
    <row r="116" spans="7:8" x14ac:dyDescent="0.3">
      <c r="G116" s="4"/>
      <c r="H116" s="4"/>
    </row>
    <row r="117" spans="7:8" x14ac:dyDescent="0.3">
      <c r="G117" s="4"/>
      <c r="H117" s="4"/>
    </row>
    <row r="118" spans="7:8" x14ac:dyDescent="0.3">
      <c r="G118" s="4"/>
      <c r="H118" s="4"/>
    </row>
    <row r="119" spans="7:8" x14ac:dyDescent="0.3">
      <c r="G119" s="4"/>
      <c r="H119" s="4"/>
    </row>
    <row r="120" spans="7:8" x14ac:dyDescent="0.3">
      <c r="G120" s="4"/>
      <c r="H120" s="4"/>
    </row>
    <row r="121" spans="7:8" x14ac:dyDescent="0.3">
      <c r="G121" s="4"/>
      <c r="H121" s="4"/>
    </row>
    <row r="122" spans="7:8" x14ac:dyDescent="0.3">
      <c r="G122" s="4"/>
      <c r="H122" s="4"/>
    </row>
    <row r="123" spans="7:8" x14ac:dyDescent="0.3">
      <c r="G123" s="4"/>
      <c r="H123" s="4"/>
    </row>
    <row r="124" spans="7:8" x14ac:dyDescent="0.3">
      <c r="G124" s="4"/>
      <c r="H124" s="4"/>
    </row>
    <row r="125" spans="7:8" x14ac:dyDescent="0.3">
      <c r="G125" s="4"/>
      <c r="H125" s="4"/>
    </row>
    <row r="126" spans="7:8" x14ac:dyDescent="0.3">
      <c r="G126" s="4"/>
      <c r="H126" s="4"/>
    </row>
    <row r="127" spans="7:8" x14ac:dyDescent="0.3">
      <c r="G127" s="4"/>
      <c r="H127" s="4"/>
    </row>
    <row r="128" spans="7:8" x14ac:dyDescent="0.3">
      <c r="G128" s="4"/>
      <c r="H128" s="4"/>
    </row>
    <row r="129" spans="7:8" x14ac:dyDescent="0.3">
      <c r="G129" s="4"/>
      <c r="H129" s="4"/>
    </row>
    <row r="130" spans="7:8" x14ac:dyDescent="0.3">
      <c r="G130" s="4"/>
      <c r="H130" s="4"/>
    </row>
    <row r="131" spans="7:8" x14ac:dyDescent="0.3">
      <c r="G131" s="4"/>
      <c r="H131" s="4"/>
    </row>
    <row r="132" spans="7:8" x14ac:dyDescent="0.3">
      <c r="G132" s="4"/>
      <c r="H132" s="4"/>
    </row>
    <row r="133" spans="7:8" x14ac:dyDescent="0.3">
      <c r="G133" s="4"/>
      <c r="H133" s="4"/>
    </row>
    <row r="134" spans="7:8" x14ac:dyDescent="0.3">
      <c r="G134" s="4"/>
      <c r="H134" s="4"/>
    </row>
    <row r="135" spans="7:8" x14ac:dyDescent="0.3">
      <c r="G135" s="4"/>
      <c r="H135" s="4"/>
    </row>
    <row r="136" spans="7:8" x14ac:dyDescent="0.3">
      <c r="G136" s="4"/>
      <c r="H136" s="4"/>
    </row>
    <row r="137" spans="7:8" x14ac:dyDescent="0.3">
      <c r="G137" s="4"/>
      <c r="H137" s="4"/>
    </row>
    <row r="138" spans="7:8" x14ac:dyDescent="0.3">
      <c r="G138" s="4"/>
      <c r="H138" s="4"/>
    </row>
    <row r="139" spans="7:8" x14ac:dyDescent="0.3">
      <c r="G139" s="4"/>
      <c r="H139" s="4"/>
    </row>
    <row r="140" spans="7:8" x14ac:dyDescent="0.3">
      <c r="G140" s="4"/>
      <c r="H140" s="4"/>
    </row>
    <row r="141" spans="7:8" x14ac:dyDescent="0.3">
      <c r="G141" s="4"/>
      <c r="H141" s="4"/>
    </row>
    <row r="142" spans="7:8" x14ac:dyDescent="0.3">
      <c r="G142" s="4"/>
      <c r="H142" s="4"/>
    </row>
    <row r="143" spans="7:8" x14ac:dyDescent="0.3">
      <c r="G143" s="4"/>
      <c r="H143" s="4"/>
    </row>
    <row r="144" spans="7:8" x14ac:dyDescent="0.3">
      <c r="G144" s="4"/>
      <c r="H144" s="4"/>
    </row>
    <row r="145" spans="7:8" x14ac:dyDescent="0.3">
      <c r="G145" s="4"/>
      <c r="H145" s="4"/>
    </row>
    <row r="146" spans="7:8" x14ac:dyDescent="0.3">
      <c r="G146" s="4"/>
      <c r="H146" s="4"/>
    </row>
    <row r="147" spans="7:8" x14ac:dyDescent="0.3">
      <c r="G147" s="4"/>
      <c r="H147" s="4"/>
    </row>
    <row r="148" spans="7:8" x14ac:dyDescent="0.3">
      <c r="G148" s="4"/>
      <c r="H148" s="4"/>
    </row>
    <row r="149" spans="7:8" x14ac:dyDescent="0.3">
      <c r="G149" s="4"/>
      <c r="H149" s="4"/>
    </row>
    <row r="150" spans="7:8" x14ac:dyDescent="0.3">
      <c r="G150" s="4"/>
      <c r="H150" s="4"/>
    </row>
    <row r="151" spans="7:8" x14ac:dyDescent="0.3">
      <c r="G151" s="4"/>
      <c r="H151" s="4"/>
    </row>
    <row r="152" spans="7:8" x14ac:dyDescent="0.3">
      <c r="G152" s="4"/>
      <c r="H152" s="4"/>
    </row>
    <row r="153" spans="7:8" x14ac:dyDescent="0.3">
      <c r="G153" s="4"/>
      <c r="H153" s="4"/>
    </row>
    <row r="154" spans="7:8" x14ac:dyDescent="0.3">
      <c r="G154" s="4"/>
      <c r="H154" s="4"/>
    </row>
    <row r="155" spans="7:8" x14ac:dyDescent="0.3">
      <c r="G155" s="4"/>
      <c r="H155" s="4"/>
    </row>
    <row r="156" spans="7:8" x14ac:dyDescent="0.3">
      <c r="G156" s="4"/>
      <c r="H156" s="4"/>
    </row>
    <row r="157" spans="7:8" x14ac:dyDescent="0.3">
      <c r="G157" s="4"/>
      <c r="H157" s="4"/>
    </row>
    <row r="158" spans="7:8" x14ac:dyDescent="0.3">
      <c r="G158" s="4"/>
      <c r="H158" s="4"/>
    </row>
    <row r="159" spans="7:8" x14ac:dyDescent="0.3">
      <c r="G159" s="4"/>
      <c r="H159" s="4"/>
    </row>
    <row r="160" spans="7:8" x14ac:dyDescent="0.3">
      <c r="G160" s="4"/>
      <c r="H160" s="4"/>
    </row>
    <row r="161" spans="7:8" x14ac:dyDescent="0.3">
      <c r="G161" s="4"/>
      <c r="H161" s="4"/>
    </row>
    <row r="162" spans="7:8" x14ac:dyDescent="0.3">
      <c r="G162" s="4"/>
      <c r="H162" s="4"/>
    </row>
    <row r="163" spans="7:8" x14ac:dyDescent="0.3">
      <c r="G163" s="4"/>
      <c r="H163" s="4"/>
    </row>
    <row r="164" spans="7:8" x14ac:dyDescent="0.3">
      <c r="G164" s="4"/>
      <c r="H164" s="4"/>
    </row>
    <row r="165" spans="7:8" x14ac:dyDescent="0.3">
      <c r="G165" s="4"/>
      <c r="H165" s="4"/>
    </row>
    <row r="166" spans="7:8" x14ac:dyDescent="0.3">
      <c r="G166" s="4"/>
      <c r="H166" s="4"/>
    </row>
    <row r="167" spans="7:8" x14ac:dyDescent="0.3">
      <c r="G167" s="4"/>
      <c r="H167" s="4"/>
    </row>
    <row r="168" spans="7:8" x14ac:dyDescent="0.3">
      <c r="G168" s="4"/>
      <c r="H168" s="4"/>
    </row>
    <row r="169" spans="7:8" x14ac:dyDescent="0.3">
      <c r="G169" s="4"/>
      <c r="H169" s="4"/>
    </row>
    <row r="170" spans="7:8" x14ac:dyDescent="0.3">
      <c r="G170" s="4"/>
      <c r="H170" s="4"/>
    </row>
    <row r="171" spans="7:8" x14ac:dyDescent="0.3">
      <c r="G171" s="4"/>
      <c r="H171" s="4"/>
    </row>
    <row r="172" spans="7:8" x14ac:dyDescent="0.3">
      <c r="G172" s="4"/>
      <c r="H172" s="4"/>
    </row>
    <row r="173" spans="7:8" x14ac:dyDescent="0.3">
      <c r="G173" s="4"/>
      <c r="H173" s="4"/>
    </row>
    <row r="174" spans="7:8" x14ac:dyDescent="0.3">
      <c r="G174" s="4"/>
      <c r="H174" s="4"/>
    </row>
    <row r="175" spans="7:8" x14ac:dyDescent="0.3">
      <c r="G175" s="4"/>
      <c r="H175" s="4"/>
    </row>
    <row r="176" spans="7:8" x14ac:dyDescent="0.3">
      <c r="G176" s="4"/>
      <c r="H176" s="4"/>
    </row>
    <row r="177" spans="7:8" x14ac:dyDescent="0.3">
      <c r="G177" s="4"/>
      <c r="H177" s="4"/>
    </row>
    <row r="178" spans="7:8" x14ac:dyDescent="0.3">
      <c r="G178" s="4"/>
      <c r="H178" s="4"/>
    </row>
    <row r="179" spans="7:8" x14ac:dyDescent="0.3">
      <c r="G179" s="4"/>
      <c r="H179" s="4"/>
    </row>
    <row r="180" spans="7:8" x14ac:dyDescent="0.3">
      <c r="G180" s="4"/>
      <c r="H180" s="4"/>
    </row>
    <row r="181" spans="7:8" x14ac:dyDescent="0.3">
      <c r="G181" s="4"/>
      <c r="H181" s="4"/>
    </row>
    <row r="182" spans="7:8" x14ac:dyDescent="0.3">
      <c r="G182" s="4"/>
      <c r="H182" s="4"/>
    </row>
    <row r="183" spans="7:8" x14ac:dyDescent="0.3">
      <c r="G183" s="4"/>
      <c r="H183" s="4"/>
    </row>
    <row r="184" spans="7:8" x14ac:dyDescent="0.3">
      <c r="G184" s="4"/>
      <c r="H184" s="4"/>
    </row>
    <row r="185" spans="7:8" x14ac:dyDescent="0.3">
      <c r="G185" s="4"/>
      <c r="H185" s="4"/>
    </row>
    <row r="186" spans="7:8" x14ac:dyDescent="0.3">
      <c r="G186" s="4"/>
      <c r="H186" s="4"/>
    </row>
    <row r="187" spans="7:8" x14ac:dyDescent="0.3">
      <c r="G187" s="4"/>
      <c r="H187" s="4"/>
    </row>
    <row r="188" spans="7:8" x14ac:dyDescent="0.3">
      <c r="G188" s="4"/>
      <c r="H188" s="4"/>
    </row>
    <row r="189" spans="7:8" x14ac:dyDescent="0.3">
      <c r="G189" s="4"/>
      <c r="H189" s="4"/>
    </row>
    <row r="190" spans="7:8" x14ac:dyDescent="0.3">
      <c r="G190" s="4"/>
      <c r="H190" s="4"/>
    </row>
    <row r="191" spans="7:8" x14ac:dyDescent="0.3">
      <c r="G191" s="4"/>
      <c r="H191" s="4"/>
    </row>
    <row r="192" spans="7:8" x14ac:dyDescent="0.3">
      <c r="G192" s="4"/>
      <c r="H192" s="4"/>
    </row>
    <row r="193" spans="7:8" x14ac:dyDescent="0.3">
      <c r="G193" s="4"/>
      <c r="H193" s="4"/>
    </row>
    <row r="194" spans="7:8" x14ac:dyDescent="0.3">
      <c r="G194" s="4"/>
      <c r="H194" s="4"/>
    </row>
    <row r="195" spans="7:8" x14ac:dyDescent="0.3">
      <c r="G195" s="4"/>
      <c r="H195" s="4"/>
    </row>
    <row r="196" spans="7:8" x14ac:dyDescent="0.3">
      <c r="G196" s="4"/>
      <c r="H196" s="4"/>
    </row>
    <row r="197" spans="7:8" x14ac:dyDescent="0.3">
      <c r="G197" s="4"/>
      <c r="H197" s="4"/>
    </row>
    <row r="198" spans="7:8" x14ac:dyDescent="0.3">
      <c r="G198" s="4"/>
      <c r="H198" s="4"/>
    </row>
    <row r="199" spans="7:8" x14ac:dyDescent="0.3">
      <c r="G199" s="4"/>
      <c r="H199" s="4"/>
    </row>
    <row r="200" spans="7:8" x14ac:dyDescent="0.3">
      <c r="G200" s="4"/>
      <c r="H200" s="4"/>
    </row>
    <row r="201" spans="7:8" x14ac:dyDescent="0.3">
      <c r="G201" s="4"/>
      <c r="H201" s="4"/>
    </row>
    <row r="202" spans="7:8" x14ac:dyDescent="0.3">
      <c r="G202" s="4"/>
      <c r="H202" s="4"/>
    </row>
    <row r="203" spans="7:8" x14ac:dyDescent="0.3">
      <c r="G203" s="4"/>
      <c r="H203" s="4"/>
    </row>
    <row r="204" spans="7:8" x14ac:dyDescent="0.3">
      <c r="G204" s="4"/>
      <c r="H204" s="4"/>
    </row>
    <row r="205" spans="7:8" x14ac:dyDescent="0.3">
      <c r="G205" s="4"/>
      <c r="H205" s="4"/>
    </row>
    <row r="206" spans="7:8" x14ac:dyDescent="0.3">
      <c r="G206" s="4"/>
      <c r="H206" s="4"/>
    </row>
    <row r="207" spans="7:8" x14ac:dyDescent="0.3">
      <c r="G207" s="4"/>
      <c r="H207" s="4"/>
    </row>
    <row r="208" spans="7:8" x14ac:dyDescent="0.3">
      <c r="G208" s="4"/>
      <c r="H208" s="4"/>
    </row>
    <row r="209" spans="7:8" x14ac:dyDescent="0.3">
      <c r="G209" s="4"/>
      <c r="H209" s="4"/>
    </row>
    <row r="210" spans="7:8" x14ac:dyDescent="0.3">
      <c r="G210" s="4"/>
      <c r="H210" s="4"/>
    </row>
    <row r="211" spans="7:8" x14ac:dyDescent="0.3">
      <c r="G211" s="4"/>
      <c r="H211" s="4"/>
    </row>
    <row r="212" spans="7:8" x14ac:dyDescent="0.3">
      <c r="G212" s="4"/>
      <c r="H212" s="4"/>
    </row>
    <row r="213" spans="7:8" x14ac:dyDescent="0.3">
      <c r="G213" s="4"/>
      <c r="H213" s="4"/>
    </row>
    <row r="214" spans="7:8" x14ac:dyDescent="0.3">
      <c r="G214" s="4"/>
      <c r="H214" s="4"/>
    </row>
    <row r="215" spans="7:8" x14ac:dyDescent="0.3">
      <c r="G215" s="4"/>
      <c r="H215" s="4"/>
    </row>
    <row r="216" spans="7:8" x14ac:dyDescent="0.3">
      <c r="G216" s="4"/>
      <c r="H216" s="4"/>
    </row>
    <row r="217" spans="7:8" x14ac:dyDescent="0.3">
      <c r="G217" s="4"/>
      <c r="H217" s="4"/>
    </row>
    <row r="218" spans="7:8" x14ac:dyDescent="0.3">
      <c r="G218" s="4"/>
      <c r="H218" s="4"/>
    </row>
    <row r="219" spans="7:8" x14ac:dyDescent="0.3">
      <c r="G219" s="4"/>
      <c r="H219" s="4"/>
    </row>
    <row r="220" spans="7:8" x14ac:dyDescent="0.3">
      <c r="G220" s="4"/>
      <c r="H220" s="4"/>
    </row>
    <row r="221" spans="7:8" x14ac:dyDescent="0.3">
      <c r="G221" s="4"/>
      <c r="H221" s="4"/>
    </row>
    <row r="222" spans="7:8" x14ac:dyDescent="0.3">
      <c r="G222" s="4"/>
      <c r="H222" s="4"/>
    </row>
    <row r="223" spans="7:8" x14ac:dyDescent="0.3">
      <c r="G223" s="4"/>
      <c r="H223" s="4"/>
    </row>
    <row r="224" spans="7:8" x14ac:dyDescent="0.3">
      <c r="G224" s="4"/>
      <c r="H224" s="4"/>
    </row>
    <row r="225" spans="7:8" x14ac:dyDescent="0.3">
      <c r="G225" s="4"/>
      <c r="H225" s="4"/>
    </row>
    <row r="226" spans="7:8" x14ac:dyDescent="0.3">
      <c r="G226" s="4"/>
      <c r="H226" s="4"/>
    </row>
    <row r="227" spans="7:8" x14ac:dyDescent="0.3">
      <c r="G227" s="4"/>
      <c r="H227" s="4"/>
    </row>
    <row r="228" spans="7:8" x14ac:dyDescent="0.3">
      <c r="G228" s="4"/>
      <c r="H228" s="4"/>
    </row>
    <row r="229" spans="7:8" x14ac:dyDescent="0.3">
      <c r="G229" s="4"/>
      <c r="H229" s="4"/>
    </row>
    <row r="230" spans="7:8" x14ac:dyDescent="0.3">
      <c r="G230" s="4"/>
      <c r="H230" s="4"/>
    </row>
    <row r="231" spans="7:8" x14ac:dyDescent="0.3">
      <c r="G231" s="4"/>
      <c r="H231" s="4"/>
    </row>
    <row r="232" spans="7:8" x14ac:dyDescent="0.3">
      <c r="G232" s="4"/>
      <c r="H232" s="4"/>
    </row>
    <row r="233" spans="7:8" x14ac:dyDescent="0.3">
      <c r="G233" s="4"/>
      <c r="H233" s="4"/>
    </row>
    <row r="234" spans="7:8" x14ac:dyDescent="0.3">
      <c r="G234" s="4"/>
      <c r="H234" s="4"/>
    </row>
    <row r="235" spans="7:8" x14ac:dyDescent="0.3">
      <c r="G235" s="4"/>
      <c r="H235" s="4"/>
    </row>
    <row r="236" spans="7:8" x14ac:dyDescent="0.3">
      <c r="G236" s="4"/>
      <c r="H236" s="4"/>
    </row>
    <row r="237" spans="7:8" x14ac:dyDescent="0.3">
      <c r="G237" s="4"/>
      <c r="H237" s="4"/>
    </row>
    <row r="238" spans="7:8" x14ac:dyDescent="0.3">
      <c r="G238" s="4"/>
      <c r="H238" s="4"/>
    </row>
    <row r="239" spans="7:8" x14ac:dyDescent="0.3">
      <c r="G239" s="4"/>
      <c r="H239" s="4"/>
    </row>
    <row r="240" spans="7:8" x14ac:dyDescent="0.3">
      <c r="G240" s="4"/>
      <c r="H240" s="4"/>
    </row>
    <row r="241" spans="7:8" x14ac:dyDescent="0.3">
      <c r="G241" s="4"/>
      <c r="H241" s="4"/>
    </row>
    <row r="242" spans="7:8" x14ac:dyDescent="0.3">
      <c r="G242" s="4"/>
      <c r="H242" s="4"/>
    </row>
    <row r="243" spans="7:8" x14ac:dyDescent="0.3">
      <c r="G243" s="4"/>
      <c r="H243" s="4"/>
    </row>
    <row r="244" spans="7:8" x14ac:dyDescent="0.3">
      <c r="G244" s="4"/>
      <c r="H244" s="4"/>
    </row>
    <row r="245" spans="7:8" x14ac:dyDescent="0.3">
      <c r="G245" s="4"/>
      <c r="H245" s="4"/>
    </row>
    <row r="246" spans="7:8" x14ac:dyDescent="0.3">
      <c r="G246" s="4"/>
      <c r="H246" s="4"/>
    </row>
    <row r="247" spans="7:8" x14ac:dyDescent="0.3">
      <c r="G247" s="4"/>
      <c r="H247" s="4"/>
    </row>
    <row r="248" spans="7:8" x14ac:dyDescent="0.3">
      <c r="G248" s="4"/>
      <c r="H248" s="4"/>
    </row>
    <row r="249" spans="7:8" x14ac:dyDescent="0.3">
      <c r="G249" s="4"/>
      <c r="H249" s="4"/>
    </row>
    <row r="250" spans="7:8" x14ac:dyDescent="0.3">
      <c r="G250" s="4"/>
      <c r="H250" s="4"/>
    </row>
    <row r="251" spans="7:8" x14ac:dyDescent="0.3">
      <c r="G251" s="4"/>
      <c r="H251" s="4"/>
    </row>
    <row r="252" spans="7:8" x14ac:dyDescent="0.3">
      <c r="G252" s="4"/>
      <c r="H252" s="4"/>
    </row>
    <row r="253" spans="7:8" x14ac:dyDescent="0.3">
      <c r="G253" s="4"/>
      <c r="H253" s="4"/>
    </row>
    <row r="254" spans="7:8" x14ac:dyDescent="0.3">
      <c r="G254" s="4"/>
      <c r="H254" s="4"/>
    </row>
    <row r="255" spans="7:8" x14ac:dyDescent="0.3">
      <c r="G255" s="4"/>
      <c r="H255" s="4"/>
    </row>
    <row r="256" spans="7:8" x14ac:dyDescent="0.3">
      <c r="G256" s="4"/>
      <c r="H256" s="4"/>
    </row>
    <row r="257" spans="7:8" x14ac:dyDescent="0.3">
      <c r="G257" s="4"/>
      <c r="H257" s="4"/>
    </row>
    <row r="258" spans="7:8" x14ac:dyDescent="0.3">
      <c r="G258" s="4"/>
      <c r="H258" s="4"/>
    </row>
    <row r="259" spans="7:8" x14ac:dyDescent="0.3">
      <c r="G259" s="4"/>
      <c r="H259" s="4"/>
    </row>
    <row r="260" spans="7:8" x14ac:dyDescent="0.3">
      <c r="G260" s="4"/>
      <c r="H260" s="4"/>
    </row>
    <row r="261" spans="7:8" x14ac:dyDescent="0.3">
      <c r="G261" s="4"/>
      <c r="H261" s="4"/>
    </row>
    <row r="262" spans="7:8" x14ac:dyDescent="0.3">
      <c r="G262" s="4"/>
      <c r="H262" s="4"/>
    </row>
    <row r="263" spans="7:8" x14ac:dyDescent="0.3">
      <c r="G263" s="4"/>
      <c r="H263" s="4"/>
    </row>
    <row r="264" spans="7:8" x14ac:dyDescent="0.3">
      <c r="G264" s="4"/>
      <c r="H264" s="4"/>
    </row>
    <row r="265" spans="7:8" x14ac:dyDescent="0.3">
      <c r="G265" s="4"/>
      <c r="H265" s="4"/>
    </row>
    <row r="266" spans="7:8" x14ac:dyDescent="0.3">
      <c r="G266" s="4"/>
      <c r="H266" s="4"/>
    </row>
    <row r="267" spans="7:8" x14ac:dyDescent="0.3">
      <c r="G267" s="4"/>
      <c r="H267" s="4"/>
    </row>
    <row r="268" spans="7:8" x14ac:dyDescent="0.3">
      <c r="G268" s="4"/>
      <c r="H268" s="4"/>
    </row>
    <row r="269" spans="7:8" x14ac:dyDescent="0.3">
      <c r="G269" s="4"/>
      <c r="H269" s="4"/>
    </row>
    <row r="270" spans="7:8" x14ac:dyDescent="0.3">
      <c r="G270" s="4"/>
      <c r="H270" s="4"/>
    </row>
    <row r="271" spans="7:8" x14ac:dyDescent="0.3">
      <c r="G271" s="4"/>
      <c r="H271" s="4"/>
    </row>
    <row r="272" spans="7:8" x14ac:dyDescent="0.3">
      <c r="G272" s="4"/>
      <c r="H272" s="4"/>
    </row>
    <row r="273" spans="7:8" x14ac:dyDescent="0.3">
      <c r="G273" s="4"/>
      <c r="H273" s="4"/>
    </row>
    <row r="274" spans="7:8" x14ac:dyDescent="0.3">
      <c r="G274" s="4"/>
      <c r="H274" s="4"/>
    </row>
    <row r="275" spans="7:8" x14ac:dyDescent="0.3">
      <c r="G275" s="4"/>
      <c r="H275" s="4"/>
    </row>
    <row r="276" spans="7:8" x14ac:dyDescent="0.3">
      <c r="G276" s="4"/>
      <c r="H276" s="4"/>
    </row>
    <row r="277" spans="7:8" x14ac:dyDescent="0.3">
      <c r="G277" s="4"/>
      <c r="H277" s="4"/>
    </row>
    <row r="278" spans="7:8" x14ac:dyDescent="0.3">
      <c r="G278" s="4"/>
      <c r="H278" s="4"/>
    </row>
    <row r="279" spans="7:8" x14ac:dyDescent="0.3">
      <c r="G279" s="4"/>
      <c r="H279" s="4"/>
    </row>
    <row r="280" spans="7:8" x14ac:dyDescent="0.3">
      <c r="G280" s="4"/>
      <c r="H280" s="4"/>
    </row>
    <row r="281" spans="7:8" x14ac:dyDescent="0.3">
      <c r="G281" s="4"/>
      <c r="H281" s="4"/>
    </row>
    <row r="282" spans="7:8" x14ac:dyDescent="0.3">
      <c r="G282" s="4"/>
      <c r="H282" s="4"/>
    </row>
    <row r="283" spans="7:8" x14ac:dyDescent="0.3">
      <c r="G283" s="4"/>
      <c r="H283" s="4"/>
    </row>
    <row r="284" spans="7:8" x14ac:dyDescent="0.3">
      <c r="G284" s="4"/>
      <c r="H284" s="4"/>
    </row>
    <row r="285" spans="7:8" x14ac:dyDescent="0.3">
      <c r="G285" s="4"/>
      <c r="H285" s="4"/>
    </row>
    <row r="286" spans="7:8" x14ac:dyDescent="0.3">
      <c r="G286" s="4"/>
      <c r="H286" s="4"/>
    </row>
    <row r="287" spans="7:8" x14ac:dyDescent="0.3">
      <c r="G287" s="4"/>
      <c r="H287" s="4"/>
    </row>
    <row r="288" spans="7:8" x14ac:dyDescent="0.3">
      <c r="G288" s="4"/>
      <c r="H288" s="4"/>
    </row>
    <row r="289" spans="7:8" x14ac:dyDescent="0.3">
      <c r="G289" s="4"/>
      <c r="H289" s="4"/>
    </row>
    <row r="290" spans="7:8" x14ac:dyDescent="0.3">
      <c r="G290" s="4"/>
      <c r="H290" s="4"/>
    </row>
    <row r="291" spans="7:8" x14ac:dyDescent="0.3">
      <c r="G291" s="4"/>
      <c r="H291" s="4"/>
    </row>
    <row r="292" spans="7:8" x14ac:dyDescent="0.3">
      <c r="G292" s="4"/>
      <c r="H292" s="4"/>
    </row>
    <row r="293" spans="7:8" x14ac:dyDescent="0.3">
      <c r="G293" s="4"/>
      <c r="H293" s="4"/>
    </row>
    <row r="294" spans="7:8" x14ac:dyDescent="0.3">
      <c r="G294" s="4"/>
      <c r="H294" s="4"/>
    </row>
    <row r="295" spans="7:8" x14ac:dyDescent="0.3">
      <c r="G295" s="4"/>
      <c r="H295" s="4"/>
    </row>
    <row r="296" spans="7:8" x14ac:dyDescent="0.3">
      <c r="G296" s="4"/>
      <c r="H296" s="4"/>
    </row>
    <row r="297" spans="7:8" x14ac:dyDescent="0.3">
      <c r="G297" s="4"/>
      <c r="H297" s="4"/>
    </row>
    <row r="298" spans="7:8" x14ac:dyDescent="0.3">
      <c r="G298" s="4"/>
      <c r="H298" s="4"/>
    </row>
    <row r="299" spans="7:8" x14ac:dyDescent="0.3">
      <c r="G299" s="4"/>
      <c r="H299" s="4"/>
    </row>
    <row r="300" spans="7:8" x14ac:dyDescent="0.3">
      <c r="G300" s="4"/>
      <c r="H300" s="4"/>
    </row>
    <row r="301" spans="7:8" x14ac:dyDescent="0.3">
      <c r="G301" s="4"/>
      <c r="H301" s="4"/>
    </row>
    <row r="302" spans="7:8" x14ac:dyDescent="0.3">
      <c r="G302" s="4"/>
      <c r="H302" s="4"/>
    </row>
    <row r="303" spans="7:8" x14ac:dyDescent="0.3">
      <c r="G303" s="4"/>
      <c r="H303" s="4"/>
    </row>
    <row r="304" spans="7:8" x14ac:dyDescent="0.3">
      <c r="G304" s="4"/>
      <c r="H304" s="4"/>
    </row>
    <row r="305" spans="7:8" x14ac:dyDescent="0.3">
      <c r="G305" s="4"/>
      <c r="H305" s="4"/>
    </row>
    <row r="306" spans="7:8" x14ac:dyDescent="0.3">
      <c r="G306" s="4"/>
      <c r="H306" s="4"/>
    </row>
    <row r="307" spans="7:8" x14ac:dyDescent="0.3">
      <c r="G307" s="4"/>
      <c r="H307" s="4"/>
    </row>
    <row r="308" spans="7:8" x14ac:dyDescent="0.3">
      <c r="G308" s="4"/>
      <c r="H308" s="4"/>
    </row>
    <row r="309" spans="7:8" x14ac:dyDescent="0.3">
      <c r="G309" s="4"/>
      <c r="H309" s="4"/>
    </row>
    <row r="310" spans="7:8" x14ac:dyDescent="0.3">
      <c r="G310" s="4"/>
      <c r="H310" s="4"/>
    </row>
    <row r="311" spans="7:8" x14ac:dyDescent="0.3">
      <c r="G311" s="4"/>
      <c r="H311" s="4"/>
    </row>
    <row r="312" spans="7:8" x14ac:dyDescent="0.3">
      <c r="G312" s="4"/>
      <c r="H312" s="4"/>
    </row>
    <row r="313" spans="7:8" x14ac:dyDescent="0.3">
      <c r="G313" s="4"/>
      <c r="H313" s="4"/>
    </row>
    <row r="314" spans="7:8" x14ac:dyDescent="0.3">
      <c r="G314" s="4"/>
      <c r="H314" s="4"/>
    </row>
    <row r="315" spans="7:8" x14ac:dyDescent="0.3">
      <c r="G315" s="4"/>
      <c r="H315" s="4"/>
    </row>
    <row r="316" spans="7:8" x14ac:dyDescent="0.3">
      <c r="G316" s="4"/>
      <c r="H316" s="4"/>
    </row>
    <row r="317" spans="7:8" x14ac:dyDescent="0.3">
      <c r="G317" s="4"/>
      <c r="H317" s="4"/>
    </row>
    <row r="318" spans="7:8" x14ac:dyDescent="0.3">
      <c r="G318" s="4"/>
      <c r="H318" s="4"/>
    </row>
    <row r="319" spans="7:8" x14ac:dyDescent="0.3">
      <c r="G319" s="4"/>
      <c r="H319" s="4"/>
    </row>
    <row r="320" spans="7:8" x14ac:dyDescent="0.3">
      <c r="G320" s="4"/>
      <c r="H320" s="4"/>
    </row>
    <row r="321" spans="7:8" x14ac:dyDescent="0.3">
      <c r="G321" s="4"/>
      <c r="H321" s="4"/>
    </row>
    <row r="322" spans="7:8" x14ac:dyDescent="0.3">
      <c r="G322" s="4"/>
      <c r="H322" s="4"/>
    </row>
    <row r="323" spans="7:8" x14ac:dyDescent="0.3">
      <c r="G323" s="4"/>
      <c r="H323" s="4"/>
    </row>
    <row r="324" spans="7:8" x14ac:dyDescent="0.3">
      <c r="G324" s="4"/>
      <c r="H324" s="4"/>
    </row>
    <row r="325" spans="7:8" x14ac:dyDescent="0.3">
      <c r="G325" s="4"/>
      <c r="H325" s="4"/>
    </row>
    <row r="326" spans="7:8" x14ac:dyDescent="0.3">
      <c r="G326" s="4"/>
      <c r="H326" s="4"/>
    </row>
    <row r="327" spans="7:8" x14ac:dyDescent="0.3">
      <c r="G327" s="4"/>
      <c r="H327" s="4"/>
    </row>
    <row r="328" spans="7:8" x14ac:dyDescent="0.3">
      <c r="G328" s="4"/>
      <c r="H328" s="4"/>
    </row>
  </sheetData>
  <mergeCells count="4">
    <mergeCell ref="H30:P30"/>
    <mergeCell ref="H31:P31"/>
    <mergeCell ref="H32:P32"/>
    <mergeCell ref="H33:P33"/>
  </mergeCells>
  <conditionalFormatting sqref="F3:F68">
    <cfRule type="containsText" dxfId="0" priority="3" operator="containsText" text="Repeat Customer">
      <formula>NOT(ISERROR(SEARCH("Repeat Customer",F3)))</formula>
    </cfRule>
    <cfRule type="containsText" dxfId="1" priority="2" operator="containsText" text="One-Time Customer">
      <formula>NOT(ISERROR(SEARCH("One-Time Customer",F3)))</formula>
    </cfRule>
    <cfRule type="containsText" dxfId="2" priority="1" operator="containsText" text="Lost Customer">
      <formula>NOT(ISERROR(SEARCH("Lost Customer",F3)))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C60BF0-913A-4AFC-9FD8-53956B8B9F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task-16</vt:lpstr>
      <vt:lpstr>Customer Retention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2026-10-08T13:19:13Z</dcterms:modified>
</cp:coreProperties>
</file>