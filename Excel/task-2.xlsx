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4725419F-ED7B-4F6E-AEF6-5B24C85214E2}" xr6:coauthVersionLast="47" xr6:coauthVersionMax="47" xr10:uidLastSave="{00000000-0000-0000-0000-000000000000}"/>
  <bookViews>
    <workbookView xWindow="2856" yWindow="2856" windowWidth="17280" windowHeight="8880" xr2:uid="{00000000-000D-0000-FFFF-FFFF00000000}"/>
  </bookViews>
  <sheets>
    <sheet name="Task-2" sheetId="1" r:id="rId1"/>
    <sheet name="High-value order &gt;100000" sheetId="3" r:id="rId2"/>
    <sheet name="High-value order &gt;50000" sheetId="6" r:id="rId3"/>
    <sheet name="Top-5 Orders" sheetId="7" r:id="rId4"/>
  </sheets>
  <definedNames>
    <definedName name="_xlnm._FilterDatabase" localSheetId="0" hidden="1">'Task-2'!$A$3:$G$53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6" i="1" l="1"/>
  <c r="O45" i="1"/>
  <c r="O44" i="1"/>
  <c r="O43" i="1"/>
  <c r="O42" i="1"/>
  <c r="O41" i="1"/>
  <c r="O40" i="1"/>
  <c r="O39" i="1"/>
  <c r="O38" i="1"/>
  <c r="O37" i="1"/>
  <c r="O36" i="1"/>
  <c r="O35" i="1"/>
  <c r="L38" i="1"/>
  <c r="L37" i="1"/>
  <c r="L36" i="1"/>
  <c r="L35" i="1"/>
  <c r="L34" i="1"/>
  <c r="L33" i="1"/>
  <c r="L32" i="1"/>
  <c r="L31" i="1"/>
  <c r="L30" i="1"/>
  <c r="L29" i="1"/>
  <c r="K38" i="1"/>
  <c r="K37" i="1"/>
  <c r="K36" i="1"/>
  <c r="K35" i="1"/>
  <c r="K34" i="1"/>
  <c r="K33" i="1"/>
  <c r="K32" i="1"/>
  <c r="K31" i="1"/>
  <c r="K30" i="1"/>
  <c r="K29" i="1"/>
  <c r="O18" i="1"/>
  <c r="N18" i="1"/>
  <c r="O17" i="1"/>
  <c r="N17" i="1"/>
  <c r="O16" i="1"/>
  <c r="N23" i="1"/>
  <c r="N24" i="1"/>
  <c r="N16" i="1"/>
  <c r="K24" i="1"/>
  <c r="K23" i="1"/>
  <c r="K22" i="1"/>
  <c r="K21" i="1"/>
  <c r="K20" i="1"/>
  <c r="K19" i="1"/>
  <c r="K18" i="1"/>
  <c r="K17" i="1"/>
  <c r="K16" i="1"/>
</calcChain>
</file>

<file path=xl/sharedStrings.xml><?xml version="1.0" encoding="utf-8"?>
<sst xmlns="http://schemas.openxmlformats.org/spreadsheetml/2006/main" count="895" uniqueCount="129">
  <si>
    <t>Order ID</t>
  </si>
  <si>
    <t>Date</t>
  </si>
  <si>
    <t>Region</t>
  </si>
  <si>
    <t>Category</t>
  </si>
  <si>
    <t>Product</t>
  </si>
  <si>
    <t>Qty</t>
  </si>
  <si>
    <t>Sales</t>
  </si>
  <si>
    <t>O-0001</t>
  </si>
  <si>
    <t>West</t>
  </si>
  <si>
    <t>Electronics</t>
  </si>
  <si>
    <t>Smartphone</t>
  </si>
  <si>
    <t>O-0002</t>
  </si>
  <si>
    <t>North</t>
  </si>
  <si>
    <t>Apparel</t>
  </si>
  <si>
    <t>T-Shirt</t>
  </si>
  <si>
    <t>O-0003</t>
  </si>
  <si>
    <t>South</t>
  </si>
  <si>
    <t>Grocery</t>
  </si>
  <si>
    <t>Rice (5kg)</t>
  </si>
  <si>
    <t>O-0004</t>
  </si>
  <si>
    <t>East</t>
  </si>
  <si>
    <t>Laptop</t>
  </si>
  <si>
    <t>O-0005</t>
  </si>
  <si>
    <t>Central</t>
  </si>
  <si>
    <t>Jeans</t>
  </si>
  <si>
    <t>O-0006</t>
  </si>
  <si>
    <t>Northwest</t>
  </si>
  <si>
    <t>Wheat Flour (1kg)</t>
  </si>
  <si>
    <t>O-0007</t>
  </si>
  <si>
    <t>LED TV 42"</t>
  </si>
  <si>
    <t>O-0008</t>
  </si>
  <si>
    <t>Northeast</t>
  </si>
  <si>
    <t>Dress</t>
  </si>
  <si>
    <t>O-0009</t>
  </si>
  <si>
    <t>Cooking Oil (1L)</t>
  </si>
  <si>
    <t>O-0010</t>
  </si>
  <si>
    <t>Bluetooth Headset</t>
  </si>
  <si>
    <t>O-0011</t>
  </si>
  <si>
    <t>Southwest</t>
  </si>
  <si>
    <t>Saree</t>
  </si>
  <si>
    <t>O-0012</t>
  </si>
  <si>
    <t>Mixer Grinder</t>
  </si>
  <si>
    <t>O-0013</t>
  </si>
  <si>
    <t>Dal (1kg)</t>
  </si>
  <si>
    <t>O-0014</t>
  </si>
  <si>
    <t>Tablet</t>
  </si>
  <si>
    <t>O-0015</t>
  </si>
  <si>
    <t>Southeast</t>
  </si>
  <si>
    <t>Kurta</t>
  </si>
  <si>
    <t>O-0016</t>
  </si>
  <si>
    <t>Sugar (1kg)</t>
  </si>
  <si>
    <t>O-0017</t>
  </si>
  <si>
    <t>Refrigerator</t>
  </si>
  <si>
    <t>O-0018</t>
  </si>
  <si>
    <t>Sweater</t>
  </si>
  <si>
    <t>O-0019</t>
  </si>
  <si>
    <t>Tea (500g)</t>
  </si>
  <si>
    <t>O-0020</t>
  </si>
  <si>
    <t>Smartwatch</t>
  </si>
  <si>
    <t>O-0021</t>
  </si>
  <si>
    <t>Nightdress</t>
  </si>
  <si>
    <t>O-0022</t>
  </si>
  <si>
    <t>Flour (5kg)</t>
  </si>
  <si>
    <t>O-0023</t>
  </si>
  <si>
    <t>Air Conditioner</t>
  </si>
  <si>
    <t>O-0024</t>
  </si>
  <si>
    <t>Shirt</t>
  </si>
  <si>
    <t>O-0025</t>
  </si>
  <si>
    <t>Coffee Beans (250g)</t>
  </si>
  <si>
    <t>O-0026</t>
  </si>
  <si>
    <t>Microwave Oven</t>
  </si>
  <si>
    <t>O-0027</t>
  </si>
  <si>
    <t>Skirt</t>
  </si>
  <si>
    <t>O-0028</t>
  </si>
  <si>
    <t>Biscuits (500g)</t>
  </si>
  <si>
    <t>O-0029</t>
  </si>
  <si>
    <t>DSLR Camera</t>
  </si>
  <si>
    <t>O-0030</t>
  </si>
  <si>
    <t>Blouse</t>
  </si>
  <si>
    <t>O-0031</t>
  </si>
  <si>
    <t>Salt (1kg)</t>
  </si>
  <si>
    <t>O-0032</t>
  </si>
  <si>
    <t>Gaming Console</t>
  </si>
  <si>
    <t>O-0033</t>
  </si>
  <si>
    <t>Leather Jacket</t>
  </si>
  <si>
    <t>O-0034</t>
  </si>
  <si>
    <t>Choco Cookies (200g)</t>
  </si>
  <si>
    <t>O-0035</t>
  </si>
  <si>
    <t>Washing Machine</t>
  </si>
  <si>
    <t>O-0036</t>
  </si>
  <si>
    <t>Dress Material</t>
  </si>
  <si>
    <t>O-0037</t>
  </si>
  <si>
    <t>Pulses (1kg)</t>
  </si>
  <si>
    <t>O-0038</t>
  </si>
  <si>
    <t>Air Fryer</t>
  </si>
  <si>
    <t>O-0039</t>
  </si>
  <si>
    <t>Kurti</t>
  </si>
  <si>
    <t>O-0040</t>
  </si>
  <si>
    <t>Milk Powder (500g)</t>
  </si>
  <si>
    <t>O-0041</t>
  </si>
  <si>
    <t>Laptop Bag</t>
  </si>
  <si>
    <t>O-0042</t>
  </si>
  <si>
    <t>Formal Shoes</t>
  </si>
  <si>
    <t>O-0043</t>
  </si>
  <si>
    <t>Tea Bags (100 pcs)</t>
  </si>
  <si>
    <t>O-0044</t>
  </si>
  <si>
    <t>Bluetooth Speaker</t>
  </si>
  <si>
    <t>O-0045</t>
  </si>
  <si>
    <t>Pants</t>
  </si>
  <si>
    <t>O-0046</t>
  </si>
  <si>
    <t>Olive Oil (1L)</t>
  </si>
  <si>
    <t>O-0047</t>
  </si>
  <si>
    <t>Desktop PC</t>
  </si>
  <si>
    <t>O-0048</t>
  </si>
  <si>
    <t>Scarf</t>
  </si>
  <si>
    <t>O-0049</t>
  </si>
  <si>
    <t>Dalia (1kg)</t>
  </si>
  <si>
    <t>O-0050</t>
  </si>
  <si>
    <t>Smart Router</t>
  </si>
  <si>
    <t>total</t>
  </si>
  <si>
    <t>Total</t>
  </si>
  <si>
    <t>High-value order</t>
  </si>
  <si>
    <t>Condition</t>
  </si>
  <si>
    <t>&gt;50000</t>
  </si>
  <si>
    <t>&gt;100000</t>
  </si>
  <si>
    <t>Orders</t>
  </si>
  <si>
    <t>Total Sales</t>
  </si>
  <si>
    <t>Corn Flour (1kg)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</si>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</sst>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"/>
    <numFmt numFmtId="165" formatCode="#.00"/>
    <numFmt numFmtId="166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/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  <border>
      <left style="thin">
        <color rgb="FFDCDCDC"/>
      </left>
      <right/>
      <top/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/>
      <top style="thin">
        <color rgb="FFDCDCDC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0" fontId="0" fillId="0" borderId="2" xfId="0" applyBorder="1"/>
    <xf numFmtId="165" fontId="0" fillId="0" borderId="3" xfId="0" applyNumberFormat="1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7" fontId="0" fillId="0" borderId="0" xfId="0" applyNumberFormat="1"/>
    <xf numFmtId="0" fontId="0" fillId="3" borderId="10" xfId="0" applyFill="1" applyBorder="1"/>
    <xf numFmtId="0" fontId="0" fillId="0" borderId="10" xfId="0" applyBorder="1"/>
    <xf numFmtId="166" fontId="0" fillId="0" borderId="8" xfId="0" applyNumberFormat="1" applyBorder="1"/>
    <xf numFmtId="166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3" borderId="2" xfId="0" applyFill="1" applyBorder="1"/>
    <xf numFmtId="0" fontId="2" fillId="0" borderId="0" xfId="0" applyFont="1"/>
    <xf numFmtId="165" fontId="0" fillId="3" borderId="3" xfId="0" applyNumberFormat="1" applyFill="1" applyBorder="1"/>
    <xf numFmtId="0" fontId="0" fillId="3" borderId="5" xfId="0" applyFill="1" applyBorder="1"/>
    <xf numFmtId="0" fontId="0" fillId="3" borderId="8" xfId="0" applyFill="1" applyBorder="1"/>
    <xf numFmtId="0" fontId="0" fillId="4" borderId="1" xfId="0" applyFill="1" applyBorder="1"/>
    <xf numFmtId="14" fontId="0" fillId="3" borderId="0" xfId="0" applyNumberFormat="1" applyFill="1"/>
    <xf numFmtId="14" fontId="0" fillId="0" borderId="0" xfId="0" applyNumberFormat="1"/>
    <xf numFmtId="14" fontId="0" fillId="3" borderId="2" xfId="0" applyNumberFormat="1" applyFill="1" applyBorder="1"/>
    <xf numFmtId="14" fontId="0" fillId="0" borderId="2" xfId="0" applyNumberFormat="1" applyBorder="1"/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DCDCDC"/>
        </left>
        <right/>
        <top style="thin">
          <color rgb="FFDCDCDC"/>
        </top>
        <bottom style="thin">
          <color rgb="FFDCDCD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outline="0">
        <right style="thin">
          <color rgb="FFDCDCDC"/>
        </right>
        <top style="medium">
          <color rgb="FF4F81BD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rgb="FFDCDCD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/>
        <bottom/>
      </border>
    </dxf>
    <dxf>
      <numFmt numFmtId="165" formatCode="#.00"/>
      <border diagonalUp="0" diagonalDown="0">
        <left style="thin">
          <color rgb="FFDCDCDC"/>
        </left>
        <right/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numFmt numFmtId="164" formatCode="mm\-dd\-yyyy"/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/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outline="0">
        <left style="thin">
          <color rgb="FFD3D3D3"/>
        </left>
        <right style="thin">
          <color rgb="FFDCDCDC"/>
        </right>
        <top style="medium">
          <color rgb="FF4F81BD"/>
        </top>
        <bottom style="thin">
          <color rgb="FFDCDCDC"/>
        </bottom>
      </border>
    </dxf>
    <dxf>
      <border outline="0">
        <bottom style="thin">
          <color rgb="FFDCDCD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/>
        <bottom/>
      </border>
    </dxf>
    <dxf>
      <numFmt numFmtId="165" formatCode="#.00"/>
      <border diagonalUp="0" diagonalDown="0">
        <left style="thin">
          <color rgb="FFDCDCDC"/>
        </left>
        <right/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numFmt numFmtId="164" formatCode="mm\-dd\-yyyy"/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/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outline="0">
        <left style="thin">
          <color rgb="FFD3D3D3"/>
        </left>
        <right style="thin">
          <color rgb="FFDCDCDC"/>
        </right>
        <top style="medium">
          <color rgb="FF4F81BD"/>
        </top>
        <bottom style="thin">
          <color rgb="FFDCDCDC"/>
        </bottom>
      </border>
    </dxf>
    <dxf>
      <border outline="0">
        <bottom style="thin">
          <color rgb="FFDCDCD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/>
        <bottom/>
      </border>
    </dxf>
    <dxf>
      <numFmt numFmtId="165" formatCode="#.00"/>
      <border diagonalUp="0" diagonalDown="0">
        <left style="thin">
          <color rgb="FFDCDCDC"/>
        </left>
        <right/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numFmt numFmtId="164" formatCode="mm\-dd\-yyyy"/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/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outline="0">
        <left style="thin">
          <color rgb="FFD3D3D3"/>
        </left>
        <right style="thin">
          <color rgb="FFDCDCDC"/>
        </right>
        <top style="medium">
          <color rgb="FF4F81BD"/>
        </top>
        <bottom style="thin">
          <color rgb="FFDCDCDC"/>
        </bottom>
      </border>
    </dxf>
    <dxf>
      <border outline="0">
        <bottom style="thin">
          <color rgb="FFDCDCD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#.00"/>
      <border diagonalUp="0" diagonalDown="0">
        <left style="thin">
          <color rgb="FFDCDCDC"/>
        </left>
        <right/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/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/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outline="0">
        <left style="thin">
          <color rgb="FFD3D3D3"/>
        </left>
        <right style="thin">
          <color rgb="FFDCDCDC"/>
        </right>
        <top style="medium">
          <color rgb="FF4F81BD"/>
        </top>
        <bottom style="thin">
          <color rgb="FFDCDCDC"/>
        </bottom>
      </border>
    </dxf>
    <dxf>
      <border outline="0">
        <bottom style="thin">
          <color rgb="FFDCDCD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86058B-7948-431F-B373-37CE5CB2386D}" name="Table2" displayName="Table2" ref="A3:G53" totalsRowShown="0" headerRowDxfId="56" headerRowBorderDxfId="55" tableBorderDxfId="54">
  <tableColumns count="7">
    <tableColumn id="1" xr3:uid="{FEB1CC8F-4849-474A-8DBE-3D1633D9B2E9}" name="Order ID" dataDxfId="53"/>
    <tableColumn id="9" xr3:uid="{D9616ED3-F1AE-4BF7-A225-163899FE2112}" name="Date" dataDxfId="52"/>
    <tableColumn id="3" xr3:uid="{AAFB6127-85F8-4230-B80A-2F46D3D01F09}" name="Region" dataDxfId="51"/>
    <tableColumn id="4" xr3:uid="{47D234D2-F53E-4B9E-8627-F14F246C43BC}" name="Category" dataDxfId="50"/>
    <tableColumn id="5" xr3:uid="{E65483DE-8C56-4A7C-958A-9E2719CF4309}" name="Product" dataDxfId="49"/>
    <tableColumn id="6" xr3:uid="{0424EA7B-2B07-42DC-901E-D6D5123EFE66}" name="Qty" dataDxfId="48"/>
    <tableColumn id="7" xr3:uid="{D094612D-C7F6-4006-A515-1F9982D62D8D}" name="Sales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0D4632-DE8F-4349-B7B5-0DDE397D58B4}" name="Table358" displayName="Table358" ref="J15:K24" totalsRowShown="0">
  <tableColumns count="2">
    <tableColumn id="1" xr3:uid="{6821D803-0485-466B-8BCC-A3A8CC778DE6}" name="Region"/>
    <tableColumn id="2" xr3:uid="{383680C9-E7BB-46FE-85F9-5BC0C68719B8}" name="total" dataDxfId="46">
      <calculatedColumnFormula>COUNTIF(C3:C53, "North")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A66038-46CA-4C04-BC12-67D768EC4BD6}" name="Table8" displayName="Table8" ref="M15:O18" totalsRowShown="0">
  <tableColumns count="3">
    <tableColumn id="1" xr3:uid="{838AD776-A201-4A4B-9276-C8C98AD5C550}" name="Category"/>
    <tableColumn id="2" xr3:uid="{C7DFC3A1-042E-472A-91B5-6E4F1A7C52DE}" name="Orders">
      <calculatedColumnFormula>COUNTIF(D4:D53,"Electronics")</calculatedColumnFormula>
    </tableColumn>
    <tableColumn id="3" xr3:uid="{B6349434-8762-461D-A431-5BC1E10B6816}" name="Total" dataDxfId="45">
      <calculatedColumnFormula>SUMIF(D4:D53,"Electronics",G4:G53)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7A25B3-827B-4401-9AA8-EF19941DCBED}" name="Table10" displayName="Table10" ref="M22:O24" totalsRowShown="0">
  <tableColumns count="3">
    <tableColumn id="1" xr3:uid="{9D0E24E1-F125-41DF-B89A-8F820D762BE1}" name="High-value order"/>
    <tableColumn id="2" xr3:uid="{0AFEBDF9-67DA-47F8-866F-6D7362DF2892}" name="Total" dataDxfId="44">
      <calculatedColumnFormula>COUNTIF(G3:G52,"&gt;50000")</calculatedColumnFormula>
    </tableColumn>
    <tableColumn id="4" xr3:uid="{59A8AE6F-527A-4475-B05A-FB7F8EF9104B}" name="Cond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168A00-AD11-4E70-8345-71CBCE5C30AA}" name="Table1" displayName="Table1" ref="J28:L38" totalsRowShown="0">
  <tableColumns count="3">
    <tableColumn id="1" xr3:uid="{0E8A0E5E-D9B5-4E9A-BB19-A494AE8791FD}" name="Product"/>
    <tableColumn id="2" xr3:uid="{EDD1999A-0326-4B5B-8D7B-C935C384BEB8}" name="Orders" dataDxfId="43">
      <calculatedColumnFormula>COUNTIF(E4:E53,"Smartphone")</calculatedColumnFormula>
    </tableColumn>
    <tableColumn id="3" xr3:uid="{76D1B799-2762-42F3-9C76-10A5F5915D60}" name="Total Sales" dataDxfId="42">
      <calculatedColumnFormula>SUMIF(E4:E53,"Smartphone",G4:G53)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E97E576-71FB-4BD8-9256-A88E3FDCA988}" name="Table1820" displayName="Table1820" ref="N34:O46" totalsRowShown="0">
  <tableColumns count="2">
    <tableColumn id="1" xr3:uid="{0BB544D3-FD9E-42E7-9ADC-0E30E7EC3623}" name="Date"/>
    <tableColumn id="2" xr3:uid="{A9FB00EA-C83C-4573-8A34-1207E001AA38}" name="Orders" dataDxfId="41">
      <calculatedColumnFormula>COUNTIFS(#REF!,"&gt;="&amp;DATE(2023,1,1),#REF!,"&lt;="&amp;DATE(2023,1,1))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F777E18-6DDB-4A2F-86EB-37C2897DE76E}" name="Table214" displayName="Table214" ref="A3:G53" totalsRowShown="0" headerRowDxfId="40" headerRowBorderDxfId="39" tableBorderDxfId="38">
  <autoFilter ref="A3:G53" xr:uid="{EF777E18-6DDB-4A2F-86EB-37C2897DE76E}">
    <filterColumn colId="6">
      <customFilters>
        <customFilter operator="greaterThan" val="100000"/>
      </customFilters>
    </filterColumn>
  </autoFilter>
  <tableColumns count="7">
    <tableColumn id="1" xr3:uid="{5735B83E-0DBA-405B-B2C3-44F6AD2621F1}" name="Order ID" dataDxfId="37"/>
    <tableColumn id="2" xr3:uid="{A02D257C-7D5D-46A9-B338-7784AC7388FA}" name="Date" dataDxfId="36"/>
    <tableColumn id="3" xr3:uid="{006BEAE4-6311-44F8-BD75-A22A81252CE8}" name="Region" dataDxfId="35"/>
    <tableColumn id="4" xr3:uid="{9695A831-5200-4B68-A182-4DEBF5AAE570}" name="Category" dataDxfId="34"/>
    <tableColumn id="5" xr3:uid="{78D61027-91E3-4A7F-A081-65B35AD376FB}" name="Product" dataDxfId="33"/>
    <tableColumn id="6" xr3:uid="{EE5720A8-98E0-43D0-BED6-1FF87E6C61C0}" name="Qty" dataDxfId="32"/>
    <tableColumn id="7" xr3:uid="{E1D1B1A9-2DDF-4DAA-9605-43D0F5782646}" name="Sales" dataDxfId="3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AB26C4-50B1-4629-9A94-EE3F3958104D}" name="Table27" displayName="Table27" ref="A1:G51" totalsRowShown="0" headerRowDxfId="30" headerRowBorderDxfId="29" tableBorderDxfId="28">
  <autoFilter ref="A1:G51" xr:uid="{DDAB26C4-50B1-4629-9A94-EE3F3958104D}">
    <filterColumn colId="6">
      <customFilters>
        <customFilter operator="greaterThan" val="50000"/>
      </customFilters>
    </filterColumn>
  </autoFilter>
  <tableColumns count="7">
    <tableColumn id="1" xr3:uid="{6234E1BC-406D-4E0F-A213-ACB01823E437}" name="Order ID" dataDxfId="27"/>
    <tableColumn id="2" xr3:uid="{40931D9E-0F01-4709-A4A9-57679E71A9A5}" name="Date" dataDxfId="26"/>
    <tableColumn id="3" xr3:uid="{751494DC-162B-4FC5-BE62-936161A5BAE3}" name="Region" dataDxfId="25"/>
    <tableColumn id="4" xr3:uid="{A71420CA-797D-4EE1-A69B-088C30C153E3}" name="Category" dataDxfId="24"/>
    <tableColumn id="5" xr3:uid="{6B91418A-4C85-4E4B-ADD7-028943A64C4A}" name="Product" dataDxfId="23"/>
    <tableColumn id="6" xr3:uid="{2EA6E57E-1D18-4B4F-BFCA-DD25472962D9}" name="Qty" dataDxfId="22"/>
    <tableColumn id="7" xr3:uid="{BE93F8A0-4907-406E-BC8D-647AF9C1126A}" name="Sales" dataDxfId="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08B1D3A-06DC-4FE1-A38B-8EA8F313DE7B}" name="Table210" displayName="Table210" ref="A4:G54" totalsRowShown="0" headerRowDxfId="20" headerRowBorderDxfId="19" tableBorderDxfId="18">
  <autoFilter ref="A4:G54" xr:uid="{A08B1D3A-06DC-4FE1-A38B-8EA8F313DE7B}"/>
  <sortState xmlns:xlrd2="http://schemas.microsoft.com/office/spreadsheetml/2017/richdata2" ref="A5:G54">
    <sortCondition descending="1" ref="G4:G54"/>
  </sortState>
  <tableColumns count="7">
    <tableColumn id="1" xr3:uid="{A96BA56C-797E-45D9-888C-C9C001F124F1}" name="Order ID" dataDxfId="17"/>
    <tableColumn id="2" xr3:uid="{4CD3F915-C4DC-45D4-B356-FEE70D6765BB}" name="Date" dataDxfId="16"/>
    <tableColumn id="3" xr3:uid="{FE916ABA-409E-4CC3-9896-516B2DD647DA}" name="Region" dataDxfId="15"/>
    <tableColumn id="4" xr3:uid="{3AADF323-A3EE-4BA8-B25B-55321B6E438E}" name="Category" dataDxfId="14"/>
    <tableColumn id="5" xr3:uid="{F58DB4E8-1EB5-402B-A2B6-1AC1C7CD69E3}" name="Product" dataDxfId="13"/>
    <tableColumn id="6" xr3:uid="{0EA75208-7707-447C-A65F-43F9913C2734}" name="Qty" dataDxfId="12"/>
    <tableColumn id="7" xr3:uid="{4A7BA2D5-EE4E-4202-98E1-24E028F2820C}" name="Sales" dataDxfId="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5AF5F29-5865-441B-84A6-D0F194B55DC1}" name="Table12" displayName="Table12" ref="M15:T20" totalsRowShown="0" headerRowDxfId="10" dataDxfId="8" headerRowBorderDxfId="9" tableBorderDxfId="7">
  <tableColumns count="8">
    <tableColumn id="8" xr3:uid="{BF3E257F-0466-413D-A9E4-894584053B90}" name="Rank" dataDxfId="6"/>
    <tableColumn id="1" xr3:uid="{A9B88B43-A95C-4F77-8BC6-4D5FDBB79DB7}" name="Order ID" dataDxfId="5"/>
    <tableColumn id="2" xr3:uid="{44BA731B-6B0B-426D-B9C1-F028DA4DDC38}" name="Date"/>
    <tableColumn id="3" xr3:uid="{EF27AB01-4EED-4ABA-86CB-00F34BA259C7}" name="Region" dataDxfId="4"/>
    <tableColumn id="4" xr3:uid="{E7B41AE9-D19F-492F-931C-A4E0444D904F}" name="Category" dataDxfId="3"/>
    <tableColumn id="5" xr3:uid="{DF8A07B0-3D56-41F1-8DF4-9514CCA5ACBF}" name="Product" dataDxfId="2"/>
    <tableColumn id="6" xr3:uid="{9997C968-F02E-42BD-8C6C-A16804F2ED3E}" name="Qty" dataDxfId="1"/>
    <tableColumn id="7" xr3:uid="{233F856F-5271-47D4-87E3-B4A2341E3C72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53"/>
  <sheetViews>
    <sheetView tabSelected="1" topLeftCell="C31" zoomScale="81" workbookViewId="0">
      <selection activeCell="O47" sqref="O47"/>
    </sheetView>
  </sheetViews>
  <sheetFormatPr defaultRowHeight="14.4" x14ac:dyDescent="0.3"/>
  <cols>
    <col min="1" max="1" width="11" customWidth="1"/>
    <col min="2" max="2" width="13" customWidth="1"/>
    <col min="3" max="3" width="14.44140625" customWidth="1"/>
    <col min="4" max="4" width="17.88671875" customWidth="1"/>
    <col min="5" max="5" width="18.21875" customWidth="1"/>
    <col min="6" max="6" width="13" customWidth="1"/>
    <col min="7" max="7" width="13.5546875" customWidth="1"/>
    <col min="8" max="8" width="13" customWidth="1"/>
    <col min="11" max="11" width="15.33203125" customWidth="1"/>
    <col min="12" max="13" width="10.44140625" customWidth="1"/>
    <col min="14" max="14" width="16.5546875" customWidth="1"/>
    <col min="15" max="15" width="14.77734375" customWidth="1"/>
    <col min="16" max="16" width="11.44140625" customWidth="1"/>
  </cols>
  <sheetData>
    <row r="3" spans="1:15" x14ac:dyDescent="0.3">
      <c r="A3" s="7" t="s">
        <v>0</v>
      </c>
      <c r="B3" s="7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6</v>
      </c>
    </row>
    <row r="4" spans="1:15" x14ac:dyDescent="0.3">
      <c r="A4" s="4" t="s">
        <v>7</v>
      </c>
      <c r="B4" s="27">
        <v>44938</v>
      </c>
      <c r="C4" t="s">
        <v>8</v>
      </c>
      <c r="D4" s="2" t="s">
        <v>9</v>
      </c>
      <c r="E4" s="2" t="s">
        <v>10</v>
      </c>
      <c r="F4" s="2">
        <v>2</v>
      </c>
      <c r="G4" s="5">
        <v>15500</v>
      </c>
    </row>
    <row r="5" spans="1:15" x14ac:dyDescent="0.3">
      <c r="A5" s="4" t="s">
        <v>11</v>
      </c>
      <c r="B5" s="28">
        <v>44941</v>
      </c>
      <c r="C5" t="s">
        <v>12</v>
      </c>
      <c r="D5" s="2" t="s">
        <v>13</v>
      </c>
      <c r="E5" s="2" t="s">
        <v>14</v>
      </c>
      <c r="F5" s="2">
        <v>5</v>
      </c>
      <c r="G5" s="5">
        <v>5997.5</v>
      </c>
    </row>
    <row r="6" spans="1:15" x14ac:dyDescent="0.3">
      <c r="A6" s="4" t="s">
        <v>15</v>
      </c>
      <c r="B6" s="27">
        <v>44946</v>
      </c>
      <c r="C6" t="s">
        <v>16</v>
      </c>
      <c r="D6" s="2" t="s">
        <v>17</v>
      </c>
      <c r="E6" s="2" t="s">
        <v>18</v>
      </c>
      <c r="F6" s="2">
        <v>10</v>
      </c>
      <c r="G6" s="5">
        <v>4500</v>
      </c>
    </row>
    <row r="7" spans="1:15" x14ac:dyDescent="0.3">
      <c r="A7" s="4" t="s">
        <v>19</v>
      </c>
      <c r="B7" s="28">
        <v>45313</v>
      </c>
      <c r="C7" t="s">
        <v>20</v>
      </c>
      <c r="D7" s="2" t="s">
        <v>9</v>
      </c>
      <c r="E7" s="2" t="s">
        <v>21</v>
      </c>
      <c r="F7" s="2">
        <v>1</v>
      </c>
      <c r="G7" s="5">
        <v>75000</v>
      </c>
    </row>
    <row r="8" spans="1:15" x14ac:dyDescent="0.3">
      <c r="A8" s="4" t="s">
        <v>22</v>
      </c>
      <c r="B8" s="27">
        <v>45316</v>
      </c>
      <c r="C8" t="s">
        <v>23</v>
      </c>
      <c r="D8" s="2" t="s">
        <v>13</v>
      </c>
      <c r="E8" s="2" t="s">
        <v>24</v>
      </c>
      <c r="F8" s="2">
        <v>3</v>
      </c>
      <c r="G8" s="6">
        <v>6899.97</v>
      </c>
    </row>
    <row r="9" spans="1:15" x14ac:dyDescent="0.3">
      <c r="A9" s="4" t="s">
        <v>25</v>
      </c>
      <c r="B9" s="28">
        <v>44954</v>
      </c>
      <c r="C9" t="s">
        <v>26</v>
      </c>
      <c r="D9" s="2" t="s">
        <v>17</v>
      </c>
      <c r="E9" s="2" t="s">
        <v>27</v>
      </c>
      <c r="F9" s="2">
        <v>20</v>
      </c>
      <c r="G9" s="5">
        <v>1600</v>
      </c>
    </row>
    <row r="10" spans="1:15" x14ac:dyDescent="0.3">
      <c r="A10" s="4" t="s">
        <v>28</v>
      </c>
      <c r="B10" s="27">
        <v>44959</v>
      </c>
      <c r="C10" t="s">
        <v>8</v>
      </c>
      <c r="D10" s="2" t="s">
        <v>9</v>
      </c>
      <c r="E10" s="2" t="s">
        <v>45</v>
      </c>
      <c r="F10" s="2">
        <v>1</v>
      </c>
      <c r="G10" s="5">
        <v>32000</v>
      </c>
    </row>
    <row r="11" spans="1:15" x14ac:dyDescent="0.3">
      <c r="A11" s="4" t="s">
        <v>30</v>
      </c>
      <c r="B11" s="28">
        <v>45048</v>
      </c>
      <c r="C11" t="s">
        <v>31</v>
      </c>
      <c r="D11" s="2" t="s">
        <v>13</v>
      </c>
      <c r="E11" s="2" t="s">
        <v>48</v>
      </c>
      <c r="F11" s="2">
        <v>2</v>
      </c>
      <c r="G11" s="5">
        <v>6598</v>
      </c>
    </row>
    <row r="12" spans="1:15" x14ac:dyDescent="0.3">
      <c r="A12" s="4" t="s">
        <v>33</v>
      </c>
      <c r="B12" s="27">
        <v>44965</v>
      </c>
      <c r="C12" t="s">
        <v>16</v>
      </c>
      <c r="D12" s="2" t="s">
        <v>17</v>
      </c>
      <c r="E12" s="2" t="s">
        <v>50</v>
      </c>
      <c r="F12" s="2">
        <v>6</v>
      </c>
      <c r="G12" s="5">
        <v>1264.5</v>
      </c>
    </row>
    <row r="13" spans="1:15" x14ac:dyDescent="0.3">
      <c r="A13" s="4" t="s">
        <v>35</v>
      </c>
      <c r="B13" s="28">
        <v>44969</v>
      </c>
      <c r="C13" t="s">
        <v>20</v>
      </c>
      <c r="D13" s="2" t="s">
        <v>9</v>
      </c>
      <c r="E13" s="2" t="s">
        <v>10</v>
      </c>
      <c r="F13" s="2">
        <v>4</v>
      </c>
      <c r="G13" s="6">
        <v>5199.96</v>
      </c>
    </row>
    <row r="14" spans="1:15" x14ac:dyDescent="0.3">
      <c r="A14" s="4" t="s">
        <v>37</v>
      </c>
      <c r="B14" s="29">
        <v>44972</v>
      </c>
      <c r="C14" s="2" t="s">
        <v>38</v>
      </c>
      <c r="D14" s="2" t="s">
        <v>13</v>
      </c>
      <c r="E14" s="2" t="s">
        <v>14</v>
      </c>
      <c r="F14" s="2">
        <v>1</v>
      </c>
      <c r="G14" s="5">
        <v>5499</v>
      </c>
    </row>
    <row r="15" spans="1:15" x14ac:dyDescent="0.3">
      <c r="A15" s="4" t="s">
        <v>40</v>
      </c>
      <c r="B15" s="30">
        <v>45340</v>
      </c>
      <c r="C15" s="2" t="s">
        <v>12</v>
      </c>
      <c r="D15" s="2" t="s">
        <v>9</v>
      </c>
      <c r="E15" s="2" t="s">
        <v>21</v>
      </c>
      <c r="F15" s="2">
        <v>3</v>
      </c>
      <c r="G15" s="5">
        <v>13498.5</v>
      </c>
      <c r="J15" t="s">
        <v>2</v>
      </c>
      <c r="K15" t="s">
        <v>119</v>
      </c>
      <c r="M15" t="s">
        <v>3</v>
      </c>
      <c r="N15" t="s">
        <v>125</v>
      </c>
      <c r="O15" t="s">
        <v>120</v>
      </c>
    </row>
    <row r="16" spans="1:15" x14ac:dyDescent="0.3">
      <c r="A16" s="4" t="s">
        <v>42</v>
      </c>
      <c r="B16" s="29">
        <v>45342</v>
      </c>
      <c r="C16" s="2" t="s">
        <v>23</v>
      </c>
      <c r="D16" s="2" t="s">
        <v>17</v>
      </c>
      <c r="E16" s="2" t="s">
        <v>18</v>
      </c>
      <c r="F16" s="2">
        <v>11</v>
      </c>
      <c r="G16" s="5">
        <v>1440</v>
      </c>
      <c r="J16" t="s">
        <v>12</v>
      </c>
      <c r="K16">
        <f t="shared" ref="K16" si="0">COUNTIF(C3:C53, "North")</f>
        <v>7</v>
      </c>
      <c r="M16" t="s">
        <v>9</v>
      </c>
      <c r="N16">
        <f>COUNTIF(D4:D53,"Electronics")</f>
        <v>18</v>
      </c>
      <c r="O16">
        <f t="shared" ref="O16" si="1">SUMIF(D4:D53,"Electronics",G4:G53)</f>
        <v>769693.39</v>
      </c>
    </row>
    <row r="17" spans="1:17" x14ac:dyDescent="0.3">
      <c r="A17" s="4" t="s">
        <v>44</v>
      </c>
      <c r="B17" s="30">
        <v>45347</v>
      </c>
      <c r="C17" s="2" t="s">
        <v>8</v>
      </c>
      <c r="D17" s="2" t="s">
        <v>9</v>
      </c>
      <c r="E17" s="2" t="s">
        <v>45</v>
      </c>
      <c r="F17" s="2">
        <v>2</v>
      </c>
      <c r="G17" s="6">
        <v>39999.980000000003</v>
      </c>
      <c r="J17" t="s">
        <v>16</v>
      </c>
      <c r="K17">
        <f>COUNTIF(C4:C53, "South")</f>
        <v>8</v>
      </c>
      <c r="M17" t="s">
        <v>13</v>
      </c>
      <c r="N17">
        <f>COUNTIF(D4:D53,"Apparel")</f>
        <v>16</v>
      </c>
      <c r="O17">
        <f>SUMIF(D4:D53,"Apparel",G4:G53)</f>
        <v>95576.239999999991</v>
      </c>
    </row>
    <row r="18" spans="1:17" x14ac:dyDescent="0.3">
      <c r="A18" s="4" t="s">
        <v>46</v>
      </c>
      <c r="B18" s="29">
        <v>44985</v>
      </c>
      <c r="C18" s="2" t="s">
        <v>47</v>
      </c>
      <c r="D18" s="2" t="s">
        <v>13</v>
      </c>
      <c r="E18" s="2" t="s">
        <v>24</v>
      </c>
      <c r="F18" s="2">
        <v>4</v>
      </c>
      <c r="G18" s="5">
        <v>5997</v>
      </c>
      <c r="J18" t="s">
        <v>8</v>
      </c>
      <c r="K18">
        <f>COUNTIF(C4:C53, "West")</f>
        <v>8</v>
      </c>
      <c r="M18" t="s">
        <v>17</v>
      </c>
      <c r="N18">
        <f>COUNTIF(D4:D53,"Grocery")</f>
        <v>16</v>
      </c>
      <c r="O18">
        <f>SUMIF(D4:D53,"Grocery",G4:G53)</f>
        <v>25223</v>
      </c>
    </row>
    <row r="19" spans="1:17" x14ac:dyDescent="0.3">
      <c r="A19" s="4" t="s">
        <v>49</v>
      </c>
      <c r="B19" s="30">
        <v>44987</v>
      </c>
      <c r="C19" s="2" t="s">
        <v>16</v>
      </c>
      <c r="D19" s="2" t="s">
        <v>17</v>
      </c>
      <c r="E19" s="2" t="s">
        <v>18</v>
      </c>
      <c r="F19" s="2">
        <v>15</v>
      </c>
      <c r="G19" s="5">
        <v>682.5</v>
      </c>
      <c r="J19" t="s">
        <v>20</v>
      </c>
      <c r="K19">
        <f>COUNTIF(C4:C53, "East" )</f>
        <v>7</v>
      </c>
    </row>
    <row r="20" spans="1:17" x14ac:dyDescent="0.3">
      <c r="A20" s="4" t="s">
        <v>51</v>
      </c>
      <c r="B20" s="29">
        <v>44990</v>
      </c>
      <c r="C20" s="2" t="s">
        <v>20</v>
      </c>
      <c r="D20" s="2" t="s">
        <v>9</v>
      </c>
      <c r="E20" s="2" t="s">
        <v>21</v>
      </c>
      <c r="F20" s="2">
        <v>1</v>
      </c>
      <c r="G20" s="5">
        <v>84000</v>
      </c>
      <c r="J20" t="s">
        <v>26</v>
      </c>
      <c r="K20">
        <f>COUNTIF(C4:C53,"Northwest")</f>
        <v>4</v>
      </c>
    </row>
    <row r="21" spans="1:17" x14ac:dyDescent="0.3">
      <c r="A21" s="4" t="s">
        <v>53</v>
      </c>
      <c r="B21" s="30">
        <v>44993</v>
      </c>
      <c r="C21" s="2" t="s">
        <v>26</v>
      </c>
      <c r="D21" s="2" t="s">
        <v>13</v>
      </c>
      <c r="E21" s="2" t="s">
        <v>14</v>
      </c>
      <c r="F21" s="2">
        <v>2</v>
      </c>
      <c r="G21" s="6">
        <v>4199.9799999999996</v>
      </c>
      <c r="J21" t="s">
        <v>31</v>
      </c>
      <c r="K21">
        <f>COUNTIF(C4:C53,"Northeast")</f>
        <v>4</v>
      </c>
    </row>
    <row r="22" spans="1:17" x14ac:dyDescent="0.3">
      <c r="A22" s="4" t="s">
        <v>55</v>
      </c>
      <c r="B22" s="29">
        <v>44996</v>
      </c>
      <c r="C22" s="2" t="s">
        <v>12</v>
      </c>
      <c r="D22" s="2" t="s">
        <v>17</v>
      </c>
      <c r="E22" s="2" t="s">
        <v>24</v>
      </c>
      <c r="F22" s="2">
        <v>8</v>
      </c>
      <c r="G22" s="5">
        <v>1446</v>
      </c>
      <c r="J22" t="s">
        <v>38</v>
      </c>
      <c r="K22">
        <f>COUNTIF(C4:C53,"Southwest")</f>
        <v>3</v>
      </c>
      <c r="M22" t="s">
        <v>121</v>
      </c>
      <c r="N22" t="s">
        <v>120</v>
      </c>
      <c r="O22" t="s">
        <v>122</v>
      </c>
    </row>
    <row r="23" spans="1:17" x14ac:dyDescent="0.3">
      <c r="A23" s="4" t="s">
        <v>57</v>
      </c>
      <c r="B23" s="30">
        <v>44999</v>
      </c>
      <c r="C23" s="2" t="s">
        <v>8</v>
      </c>
      <c r="D23" s="2" t="s">
        <v>9</v>
      </c>
      <c r="E23" s="2" t="s">
        <v>45</v>
      </c>
      <c r="F23" s="2">
        <v>3</v>
      </c>
      <c r="G23" s="5">
        <v>23997</v>
      </c>
      <c r="J23" t="s">
        <v>47</v>
      </c>
      <c r="K23">
        <f>COUNTIF(C4:C53,"Southeast")</f>
        <v>3</v>
      </c>
      <c r="M23" t="s">
        <v>6</v>
      </c>
      <c r="N23">
        <f t="shared" ref="N23" si="2">COUNTIF(G3:G52,"&gt;50000")</f>
        <v>5</v>
      </c>
      <c r="O23" t="s">
        <v>123</v>
      </c>
      <c r="Q23" s="14"/>
    </row>
    <row r="24" spans="1:17" x14ac:dyDescent="0.3">
      <c r="A24" s="4" t="s">
        <v>59</v>
      </c>
      <c r="B24" s="29">
        <v>45002</v>
      </c>
      <c r="C24" s="2" t="s">
        <v>31</v>
      </c>
      <c r="D24" s="2" t="s">
        <v>13</v>
      </c>
      <c r="E24" s="2" t="s">
        <v>48</v>
      </c>
      <c r="F24" s="2">
        <v>5</v>
      </c>
      <c r="G24" s="6">
        <v>5499.95</v>
      </c>
      <c r="J24" t="s">
        <v>23</v>
      </c>
      <c r="K24">
        <f>COUNTIF(C4:C53,"Central")</f>
        <v>6</v>
      </c>
      <c r="M24" t="s">
        <v>6</v>
      </c>
      <c r="N24">
        <f>COUNTIF(G4:G53,"&gt;100000")</f>
        <v>1</v>
      </c>
      <c r="O24" t="s">
        <v>124</v>
      </c>
      <c r="Q24" s="14"/>
    </row>
    <row r="25" spans="1:17" x14ac:dyDescent="0.3">
      <c r="A25" s="4" t="s">
        <v>61</v>
      </c>
      <c r="B25" s="30">
        <v>45371</v>
      </c>
      <c r="C25" s="2" t="s">
        <v>23</v>
      </c>
      <c r="D25" s="2" t="s">
        <v>17</v>
      </c>
      <c r="E25" s="2" t="s">
        <v>27</v>
      </c>
      <c r="F25" s="2">
        <v>7</v>
      </c>
      <c r="G25" s="5">
        <v>1960</v>
      </c>
    </row>
    <row r="26" spans="1:17" x14ac:dyDescent="0.3">
      <c r="A26" s="4" t="s">
        <v>63</v>
      </c>
      <c r="B26" s="18">
        <v>45374</v>
      </c>
      <c r="C26" s="2" t="s">
        <v>16</v>
      </c>
      <c r="D26" s="2" t="s">
        <v>9</v>
      </c>
      <c r="E26" s="2" t="s">
        <v>10</v>
      </c>
      <c r="F26" s="2">
        <v>1</v>
      </c>
      <c r="G26" s="5">
        <v>195000</v>
      </c>
    </row>
    <row r="27" spans="1:17" x14ac:dyDescent="0.3">
      <c r="A27" s="4" t="s">
        <v>65</v>
      </c>
      <c r="B27" s="3">
        <v>45377</v>
      </c>
      <c r="C27" s="2" t="s">
        <v>20</v>
      </c>
      <c r="D27" s="2" t="s">
        <v>13</v>
      </c>
      <c r="E27" s="2" t="s">
        <v>14</v>
      </c>
      <c r="F27" s="2">
        <v>6</v>
      </c>
      <c r="G27" s="5">
        <v>7194</v>
      </c>
    </row>
    <row r="28" spans="1:17" x14ac:dyDescent="0.3">
      <c r="A28" s="4" t="s">
        <v>67</v>
      </c>
      <c r="B28" s="18">
        <v>45380</v>
      </c>
      <c r="C28" s="2" t="s">
        <v>38</v>
      </c>
      <c r="D28" s="2" t="s">
        <v>17</v>
      </c>
      <c r="E28" s="2" t="s">
        <v>50</v>
      </c>
      <c r="F28" s="2">
        <v>3</v>
      </c>
      <c r="G28" s="5">
        <v>1050</v>
      </c>
      <c r="J28" t="s">
        <v>4</v>
      </c>
      <c r="K28" t="s">
        <v>125</v>
      </c>
      <c r="L28" t="s">
        <v>126</v>
      </c>
    </row>
    <row r="29" spans="1:17" x14ac:dyDescent="0.3">
      <c r="A29" s="4" t="s">
        <v>69</v>
      </c>
      <c r="B29" s="30">
        <v>45017</v>
      </c>
      <c r="C29" s="2" t="s">
        <v>8</v>
      </c>
      <c r="D29" s="2" t="s">
        <v>9</v>
      </c>
      <c r="E29" s="2" t="s">
        <v>21</v>
      </c>
      <c r="F29" s="2">
        <v>2</v>
      </c>
      <c r="G29" s="5">
        <v>25000</v>
      </c>
      <c r="J29" s="2" t="s">
        <v>10</v>
      </c>
      <c r="K29">
        <f t="shared" ref="K29" si="3">COUNTIF(E4:E53,"Smartphone")</f>
        <v>7</v>
      </c>
      <c r="L29">
        <f t="shared" ref="L29" si="4">SUMIF(E4:E53,"Smartphone",G4:G53)</f>
        <v>411699.93999999994</v>
      </c>
      <c r="N29" s="14"/>
    </row>
    <row r="30" spans="1:17" x14ac:dyDescent="0.3">
      <c r="A30" s="4" t="s">
        <v>71</v>
      </c>
      <c r="B30" s="20">
        <v>45020</v>
      </c>
      <c r="C30" s="2" t="s">
        <v>12</v>
      </c>
      <c r="D30" s="2" t="s">
        <v>13</v>
      </c>
      <c r="E30" s="2" t="s">
        <v>24</v>
      </c>
      <c r="F30" s="2">
        <v>3</v>
      </c>
      <c r="G30" s="6">
        <v>2999.97</v>
      </c>
      <c r="J30" s="2" t="s">
        <v>21</v>
      </c>
      <c r="K30">
        <f>COUNTIF(E5:E54,"Laptop")</f>
        <v>5</v>
      </c>
      <c r="L30">
        <f>SUMIF(E4:E53,"Laptop",G4:G53)</f>
        <v>201998.47</v>
      </c>
      <c r="N30" s="14"/>
    </row>
    <row r="31" spans="1:17" x14ac:dyDescent="0.3">
      <c r="A31" s="4" t="s">
        <v>73</v>
      </c>
      <c r="B31" s="30">
        <v>45023</v>
      </c>
      <c r="C31" s="2" t="s">
        <v>47</v>
      </c>
      <c r="D31" s="2" t="s">
        <v>17</v>
      </c>
      <c r="E31" s="2" t="s">
        <v>127</v>
      </c>
      <c r="F31" s="2">
        <v>10</v>
      </c>
      <c r="G31" s="5">
        <v>1200</v>
      </c>
      <c r="J31" s="2" t="s">
        <v>45</v>
      </c>
      <c r="K31">
        <f>COUNTIF(E4:E53,"Tablet")</f>
        <v>6</v>
      </c>
      <c r="L31">
        <f>SUMIF(E4:E53,"Tablet",G4:G53)</f>
        <v>155994.98000000001</v>
      </c>
    </row>
    <row r="32" spans="1:17" x14ac:dyDescent="0.3">
      <c r="A32" s="4" t="s">
        <v>75</v>
      </c>
      <c r="B32" s="29">
        <v>45026</v>
      </c>
      <c r="C32" s="2" t="s">
        <v>16</v>
      </c>
      <c r="D32" s="2" t="s">
        <v>9</v>
      </c>
      <c r="E32" s="2" t="s">
        <v>10</v>
      </c>
      <c r="F32" s="2">
        <v>1</v>
      </c>
      <c r="G32" s="5">
        <v>85000</v>
      </c>
      <c r="J32" s="2" t="s">
        <v>18</v>
      </c>
      <c r="K32">
        <f>COUNTIF(E4:E53,"Rice (5kg)")</f>
        <v>5</v>
      </c>
      <c r="L32">
        <f>SUMIF(E4:E53,"Rice (5kg)",G4:G53)</f>
        <v>10472.5</v>
      </c>
    </row>
    <row r="33" spans="1:15" x14ac:dyDescent="0.3">
      <c r="A33" s="4" t="s">
        <v>77</v>
      </c>
      <c r="B33" s="3">
        <v>45029</v>
      </c>
      <c r="C33" s="2" t="s">
        <v>23</v>
      </c>
      <c r="D33" s="2" t="s">
        <v>13</v>
      </c>
      <c r="E33" s="2" t="s">
        <v>48</v>
      </c>
      <c r="F33" s="2">
        <v>2</v>
      </c>
      <c r="G33" s="5">
        <v>2999</v>
      </c>
      <c r="J33" s="2" t="s">
        <v>27</v>
      </c>
      <c r="K33">
        <f>COUNTIF(E4:E53,"Wheat Flour (1kg)")</f>
        <v>4</v>
      </c>
      <c r="L33">
        <f>SUMIF(E4:E53,"Wheat Flour (1kg)",G4:G53)</f>
        <v>6570</v>
      </c>
    </row>
    <row r="34" spans="1:15" x14ac:dyDescent="0.3">
      <c r="A34" s="4" t="s">
        <v>79</v>
      </c>
      <c r="B34" s="18">
        <v>45032</v>
      </c>
      <c r="C34" s="2" t="s">
        <v>20</v>
      </c>
      <c r="D34" s="2" t="s">
        <v>17</v>
      </c>
      <c r="E34" s="2" t="s">
        <v>50</v>
      </c>
      <c r="F34" s="2">
        <v>25</v>
      </c>
      <c r="G34" s="5">
        <v>550</v>
      </c>
      <c r="J34" s="2" t="s">
        <v>50</v>
      </c>
      <c r="K34">
        <f>COUNTIF(E4:E53,"Sugar (1kg)")</f>
        <v>3</v>
      </c>
      <c r="L34">
        <f>SUMIF(E4:E53,"Sugar (1kg)",G4:G53)</f>
        <v>2864.5</v>
      </c>
      <c r="N34" t="s">
        <v>1</v>
      </c>
      <c r="O34" t="s">
        <v>125</v>
      </c>
    </row>
    <row r="35" spans="1:15" x14ac:dyDescent="0.3">
      <c r="A35" s="4" t="s">
        <v>81</v>
      </c>
      <c r="B35" s="3">
        <v>45035</v>
      </c>
      <c r="C35" s="2" t="s">
        <v>26</v>
      </c>
      <c r="D35" s="2" t="s">
        <v>9</v>
      </c>
      <c r="E35" s="2" t="s">
        <v>45</v>
      </c>
      <c r="F35" s="2">
        <v>1</v>
      </c>
      <c r="G35" s="5">
        <v>30000</v>
      </c>
      <c r="J35" t="s">
        <v>127</v>
      </c>
      <c r="K35">
        <f>COUNTIF(E4:E53,"Corn Flour (1kg)")</f>
        <v>3</v>
      </c>
      <c r="L35">
        <f ca="1">SUMIF(E3:E53,"Corn Flour (1kg)",G4:G53)</f>
        <v>106999.98</v>
      </c>
      <c r="N35" s="14">
        <v>44927</v>
      </c>
      <c r="O35">
        <f>COUNTIFS(B4:B53,"&gt;="&amp;DATE(2023,1,1),B4:B53,"&lt;="&amp;DATE(2023,1,31))</f>
        <v>4</v>
      </c>
    </row>
    <row r="36" spans="1:15" x14ac:dyDescent="0.3">
      <c r="A36" s="4" t="s">
        <v>83</v>
      </c>
      <c r="B36" s="18">
        <v>45038</v>
      </c>
      <c r="C36" s="2" t="s">
        <v>8</v>
      </c>
      <c r="D36" s="2" t="s">
        <v>13</v>
      </c>
      <c r="E36" s="2" t="s">
        <v>24</v>
      </c>
      <c r="F36" s="2">
        <v>1</v>
      </c>
      <c r="G36" s="6">
        <v>9999.99</v>
      </c>
      <c r="J36" s="2" t="s">
        <v>14</v>
      </c>
      <c r="K36">
        <f>COUNTIF(E4:E53,"T-Shirt")</f>
        <v>6</v>
      </c>
      <c r="L36">
        <f>SUMIF(E4:E53,"T-Shirt",G4:G53)</f>
        <v>38885.479999999996</v>
      </c>
      <c r="N36" s="14">
        <v>44958</v>
      </c>
      <c r="O36">
        <f>COUNTIFS(B4:B53,"&gt;="&amp;DATE(2023,2,1),B4:B53,"&lt;="&amp;DATE(2023,2,28))</f>
        <v>5</v>
      </c>
    </row>
    <row r="37" spans="1:15" x14ac:dyDescent="0.3">
      <c r="A37" s="4" t="s">
        <v>85</v>
      </c>
      <c r="B37" s="3">
        <v>45407</v>
      </c>
      <c r="C37" s="2" t="s">
        <v>12</v>
      </c>
      <c r="D37" s="2" t="s">
        <v>17</v>
      </c>
      <c r="E37" s="2" t="s">
        <v>18</v>
      </c>
      <c r="F37" s="2">
        <v>12</v>
      </c>
      <c r="G37" s="5">
        <v>2200</v>
      </c>
      <c r="J37" s="2" t="s">
        <v>24</v>
      </c>
      <c r="K37">
        <f>COUNTIF(E4:E53,"Jeans")</f>
        <v>6</v>
      </c>
      <c r="L37">
        <f>SUMIF(E4:E53,"Jeans",G4:G53)</f>
        <v>33342.879999999997</v>
      </c>
      <c r="N37" s="14">
        <v>44986</v>
      </c>
      <c r="O37">
        <f>COUNTIFS(B4:B53,"&gt;="&amp;DATE(2023,3,1),B4:B53,"&lt;="&amp;DATE(2023,3,31))</f>
        <v>6</v>
      </c>
    </row>
    <row r="38" spans="1:15" x14ac:dyDescent="0.3">
      <c r="A38" s="4" t="s">
        <v>87</v>
      </c>
      <c r="B38" s="18">
        <v>45410</v>
      </c>
      <c r="C38" s="2" t="s">
        <v>31</v>
      </c>
      <c r="D38" s="2" t="s">
        <v>9</v>
      </c>
      <c r="E38" s="2" t="s">
        <v>10</v>
      </c>
      <c r="F38" s="2">
        <v>1</v>
      </c>
      <c r="G38" s="5">
        <v>42000</v>
      </c>
      <c r="J38" s="2" t="s">
        <v>48</v>
      </c>
      <c r="K38">
        <f>COUNTIF(E4:E53,"Kurta")</f>
        <v>5</v>
      </c>
      <c r="L38">
        <f>SUMIF(E4:E53,"Kurta",G4:G53)</f>
        <v>24793.88</v>
      </c>
      <c r="N38" s="14">
        <v>45017</v>
      </c>
      <c r="O38">
        <f>COUNTIFS(B4:B53,"&gt;="&amp;DATE(2023,4,1),B4:B53,"&lt;="&amp;DATE(2023,4,30))</f>
        <v>8</v>
      </c>
    </row>
    <row r="39" spans="1:15" x14ac:dyDescent="0.3">
      <c r="A39" s="4" t="s">
        <v>89</v>
      </c>
      <c r="B39" s="30">
        <v>45047</v>
      </c>
      <c r="C39" s="2" t="s">
        <v>16</v>
      </c>
      <c r="D39" s="2" t="s">
        <v>13</v>
      </c>
      <c r="E39" s="2" t="s">
        <v>14</v>
      </c>
      <c r="F39" s="2">
        <v>4</v>
      </c>
      <c r="G39" s="5">
        <v>9996</v>
      </c>
      <c r="N39" s="14">
        <v>45047</v>
      </c>
      <c r="O39">
        <f>COUNTIFS(B4:B53,"&gt;="&amp;DATE(2023,5,1),B4:B53,"&lt;="&amp;DATE(2023,5,31))</f>
        <v>10</v>
      </c>
    </row>
    <row r="40" spans="1:15" x14ac:dyDescent="0.3">
      <c r="A40" s="4" t="s">
        <v>91</v>
      </c>
      <c r="B40" s="29">
        <v>45050</v>
      </c>
      <c r="C40" s="2" t="s">
        <v>23</v>
      </c>
      <c r="D40" s="2" t="s">
        <v>17</v>
      </c>
      <c r="E40" s="2" t="s">
        <v>127</v>
      </c>
      <c r="F40" s="2">
        <v>9</v>
      </c>
      <c r="G40" s="5">
        <v>1170</v>
      </c>
      <c r="N40" s="14">
        <v>45078</v>
      </c>
      <c r="O40">
        <f>COUNTIFS(B4:B53,"&gt;="&amp;DATE(2023,6,1),B4:B53,"&lt;="&amp;DATE(2023,6,30))</f>
        <v>3</v>
      </c>
    </row>
    <row r="41" spans="1:15" x14ac:dyDescent="0.3">
      <c r="A41" s="4" t="s">
        <v>93</v>
      </c>
      <c r="B41" s="30">
        <v>45053</v>
      </c>
      <c r="C41" s="2" t="s">
        <v>38</v>
      </c>
      <c r="D41" s="2" t="s">
        <v>9</v>
      </c>
      <c r="E41" s="2" t="s">
        <v>45</v>
      </c>
      <c r="F41" s="2">
        <v>2</v>
      </c>
      <c r="G41" s="5">
        <v>18000</v>
      </c>
      <c r="N41" s="14">
        <v>45292</v>
      </c>
      <c r="O41">
        <f>COUNTIFS(B4:B53,"&gt;="&amp;DATE(2024,1,1),B4:B53,"&lt;="&amp;DATE(2024,1,31))</f>
        <v>2</v>
      </c>
    </row>
    <row r="42" spans="1:15" x14ac:dyDescent="0.3">
      <c r="A42" s="4" t="s">
        <v>95</v>
      </c>
      <c r="B42" s="29">
        <v>45056</v>
      </c>
      <c r="C42" s="2" t="s">
        <v>20</v>
      </c>
      <c r="D42" s="2" t="s">
        <v>13</v>
      </c>
      <c r="E42" s="2" t="s">
        <v>24</v>
      </c>
      <c r="F42" s="2">
        <v>5</v>
      </c>
      <c r="G42" s="6">
        <v>5999.95</v>
      </c>
      <c r="N42" s="14">
        <v>45323</v>
      </c>
      <c r="O42">
        <f>COUNTIFS(B4:B53,"&gt;="&amp;DATE(2024,2,1),B4:B53,"&lt;="&amp;DATE(2024,2,28))</f>
        <v>3</v>
      </c>
    </row>
    <row r="43" spans="1:15" x14ac:dyDescent="0.3">
      <c r="A43" s="4" t="s">
        <v>97</v>
      </c>
      <c r="B43" s="3">
        <v>45059</v>
      </c>
      <c r="C43" s="2" t="s">
        <v>8</v>
      </c>
      <c r="D43" s="2" t="s">
        <v>17</v>
      </c>
      <c r="E43" s="2" t="s">
        <v>27</v>
      </c>
      <c r="F43" s="2">
        <v>8</v>
      </c>
      <c r="G43" s="5">
        <v>1680</v>
      </c>
      <c r="N43" s="14">
        <v>45352</v>
      </c>
      <c r="O43">
        <f>COUNTIFS(B4:B53,"&gt;="&amp;DATE(2024,3,1),B4:B53,"&lt;="&amp;DATE(2024,3,31))</f>
        <v>4</v>
      </c>
    </row>
    <row r="44" spans="1:15" x14ac:dyDescent="0.3">
      <c r="A44" s="4" t="s">
        <v>99</v>
      </c>
      <c r="B44" s="18">
        <v>45062</v>
      </c>
      <c r="C44" s="2" t="s">
        <v>47</v>
      </c>
      <c r="D44" s="2" t="s">
        <v>9</v>
      </c>
      <c r="E44" s="2" t="s">
        <v>21</v>
      </c>
      <c r="F44" s="2">
        <v>3</v>
      </c>
      <c r="G44" s="6">
        <v>4499.97</v>
      </c>
      <c r="N44" s="14">
        <v>45383</v>
      </c>
      <c r="O44">
        <f>COUNTIFS(B4:B53,"&gt;="&amp;DATE(2024,4,1),B4:B53,"&lt;="&amp;DATE(2024,4,30))</f>
        <v>2</v>
      </c>
    </row>
    <row r="45" spans="1:15" x14ac:dyDescent="0.3">
      <c r="A45" s="4" t="s">
        <v>101</v>
      </c>
      <c r="B45" s="3">
        <v>45065</v>
      </c>
      <c r="C45" s="2" t="s">
        <v>12</v>
      </c>
      <c r="D45" s="2" t="s">
        <v>13</v>
      </c>
      <c r="E45" s="2" t="s">
        <v>14</v>
      </c>
      <c r="F45" s="2">
        <v>2</v>
      </c>
      <c r="G45" s="5">
        <v>5999</v>
      </c>
      <c r="N45" s="14">
        <v>45413</v>
      </c>
      <c r="O45">
        <f>COUNTIFS(B4:B53,"&gt;="&amp;DATE(2024,5,1),B4:B53,"&lt;="&amp;DATE(2024,5,31))</f>
        <v>2</v>
      </c>
    </row>
    <row r="46" spans="1:15" x14ac:dyDescent="0.3">
      <c r="A46" s="4" t="s">
        <v>103</v>
      </c>
      <c r="B46" s="18">
        <v>45068</v>
      </c>
      <c r="C46" s="2" t="s">
        <v>16</v>
      </c>
      <c r="D46" s="2" t="s">
        <v>17</v>
      </c>
      <c r="E46" s="2" t="s">
        <v>127</v>
      </c>
      <c r="F46" s="2">
        <v>6</v>
      </c>
      <c r="G46" s="5">
        <v>1500</v>
      </c>
      <c r="N46" s="14">
        <v>45444</v>
      </c>
      <c r="O46">
        <f>COUNTIFS(B4:B53,"&gt;="&amp;DATE(2024,6,1),B4:B53,"&lt;="&amp;DATE(2024,6,30))</f>
        <v>1</v>
      </c>
    </row>
    <row r="47" spans="1:15" x14ac:dyDescent="0.3">
      <c r="A47" s="4" t="s">
        <v>105</v>
      </c>
      <c r="B47" s="3">
        <v>45071</v>
      </c>
      <c r="C47" s="2" t="s">
        <v>23</v>
      </c>
      <c r="D47" s="2" t="s">
        <v>9</v>
      </c>
      <c r="E47" s="2" t="s">
        <v>10</v>
      </c>
      <c r="F47" s="2">
        <v>2</v>
      </c>
      <c r="G47" s="6">
        <v>3999.98</v>
      </c>
    </row>
    <row r="48" spans="1:15" x14ac:dyDescent="0.3">
      <c r="A48" s="4" t="s">
        <v>107</v>
      </c>
      <c r="B48" s="18">
        <v>45440</v>
      </c>
      <c r="C48" s="2" t="s">
        <v>26</v>
      </c>
      <c r="D48" s="2" t="s">
        <v>13</v>
      </c>
      <c r="E48" s="2" t="s">
        <v>48</v>
      </c>
      <c r="F48" s="2">
        <v>4</v>
      </c>
      <c r="G48" s="5">
        <v>5196</v>
      </c>
    </row>
    <row r="49" spans="1:7" x14ac:dyDescent="0.3">
      <c r="A49" s="4" t="s">
        <v>109</v>
      </c>
      <c r="B49" s="3">
        <v>45443</v>
      </c>
      <c r="C49" s="2" t="s">
        <v>20</v>
      </c>
      <c r="D49" s="2" t="s">
        <v>17</v>
      </c>
      <c r="E49" s="2" t="s">
        <v>18</v>
      </c>
      <c r="F49" s="2">
        <v>3</v>
      </c>
      <c r="G49" s="5">
        <v>1650</v>
      </c>
    </row>
    <row r="50" spans="1:7" x14ac:dyDescent="0.3">
      <c r="A50" s="4" t="s">
        <v>111</v>
      </c>
      <c r="B50" s="29">
        <v>45080</v>
      </c>
      <c r="C50" s="2" t="s">
        <v>8</v>
      </c>
      <c r="D50" s="2" t="s">
        <v>9</v>
      </c>
      <c r="E50" s="2" t="s">
        <v>10</v>
      </c>
      <c r="F50" s="2">
        <v>1</v>
      </c>
      <c r="G50" s="5">
        <v>65000</v>
      </c>
    </row>
    <row r="51" spans="1:7" x14ac:dyDescent="0.3">
      <c r="A51" s="4" t="s">
        <v>113</v>
      </c>
      <c r="B51" s="30">
        <v>45083</v>
      </c>
      <c r="C51" s="2" t="s">
        <v>31</v>
      </c>
      <c r="D51" s="2" t="s">
        <v>13</v>
      </c>
      <c r="E51" s="2" t="s">
        <v>48</v>
      </c>
      <c r="F51" s="2">
        <v>7</v>
      </c>
      <c r="G51" s="6">
        <v>4500.93</v>
      </c>
    </row>
    <row r="52" spans="1:7" x14ac:dyDescent="0.3">
      <c r="A52" s="4" t="s">
        <v>115</v>
      </c>
      <c r="B52" s="29">
        <v>45086</v>
      </c>
      <c r="C52" s="2" t="s">
        <v>16</v>
      </c>
      <c r="D52" s="2" t="s">
        <v>17</v>
      </c>
      <c r="E52" s="2" t="s">
        <v>27</v>
      </c>
      <c r="F52" s="2">
        <v>14</v>
      </c>
      <c r="G52" s="5">
        <v>1330</v>
      </c>
    </row>
    <row r="53" spans="1:7" x14ac:dyDescent="0.3">
      <c r="A53" s="10" t="s">
        <v>117</v>
      </c>
      <c r="B53" s="30">
        <v>45455</v>
      </c>
      <c r="C53" s="12" t="s">
        <v>12</v>
      </c>
      <c r="D53" s="12" t="s">
        <v>9</v>
      </c>
      <c r="E53" s="2" t="s">
        <v>45</v>
      </c>
      <c r="F53" s="12">
        <v>2</v>
      </c>
      <c r="G53" s="13">
        <v>11998</v>
      </c>
    </row>
  </sheetData>
  <phoneticPr fontId="3" type="noConversion"/>
  <pageMargins left="0.7" right="0.7" top="0.75" bottom="0.75" header="0.3" footer="0.3"/>
  <pageSetup orientation="portrait" r:id="rId1"/>
  <ignoredErrors>
    <ignoredError sqref="O35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3A16-E642-48D0-9B48-26E385BCDF47}">
  <dimension ref="A3:G53"/>
  <sheetViews>
    <sheetView workbookViewId="0">
      <selection activeCell="C74" sqref="C74"/>
    </sheetView>
  </sheetViews>
  <sheetFormatPr defaultRowHeight="14.4" x14ac:dyDescent="0.3"/>
  <cols>
    <col min="2" max="2" width="15" customWidth="1"/>
    <col min="3" max="3" width="13.5546875" customWidth="1"/>
    <col min="4" max="4" width="16.77734375" customWidth="1"/>
    <col min="5" max="5" width="19.5546875" customWidth="1"/>
    <col min="7" max="7" width="13.33203125" customWidth="1"/>
  </cols>
  <sheetData>
    <row r="3" spans="1:7" x14ac:dyDescent="0.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6</v>
      </c>
    </row>
    <row r="4" spans="1:7" hidden="1" x14ac:dyDescent="0.3">
      <c r="A4" s="4" t="s">
        <v>7</v>
      </c>
      <c r="B4" s="1">
        <v>45261</v>
      </c>
      <c r="C4" t="s">
        <v>8</v>
      </c>
      <c r="D4" s="2" t="s">
        <v>9</v>
      </c>
      <c r="E4" s="2" t="s">
        <v>10</v>
      </c>
      <c r="F4" s="2">
        <v>2</v>
      </c>
      <c r="G4" s="5">
        <v>15500</v>
      </c>
    </row>
    <row r="5" spans="1:7" hidden="1" x14ac:dyDescent="0.3">
      <c r="A5" s="4" t="s">
        <v>11</v>
      </c>
      <c r="B5" s="3">
        <v>44941</v>
      </c>
      <c r="C5" t="s">
        <v>12</v>
      </c>
      <c r="D5" s="2" t="s">
        <v>13</v>
      </c>
      <c r="E5" s="2" t="s">
        <v>14</v>
      </c>
      <c r="F5" s="2">
        <v>5</v>
      </c>
      <c r="G5" s="5">
        <v>5997.5</v>
      </c>
    </row>
    <row r="6" spans="1:7" hidden="1" x14ac:dyDescent="0.3">
      <c r="A6" s="4" t="s">
        <v>15</v>
      </c>
      <c r="B6" s="3">
        <v>44946</v>
      </c>
      <c r="C6" t="s">
        <v>16</v>
      </c>
      <c r="D6" s="2" t="s">
        <v>17</v>
      </c>
      <c r="E6" s="2" t="s">
        <v>18</v>
      </c>
      <c r="F6" s="2">
        <v>10</v>
      </c>
      <c r="G6" s="5">
        <v>4500</v>
      </c>
    </row>
    <row r="7" spans="1:7" hidden="1" x14ac:dyDescent="0.3">
      <c r="A7" s="4" t="s">
        <v>19</v>
      </c>
      <c r="B7" s="3">
        <v>45313</v>
      </c>
      <c r="C7" t="s">
        <v>20</v>
      </c>
      <c r="D7" s="2" t="s">
        <v>9</v>
      </c>
      <c r="E7" s="2" t="s">
        <v>21</v>
      </c>
      <c r="F7" s="2">
        <v>1</v>
      </c>
      <c r="G7" s="5">
        <v>75000</v>
      </c>
    </row>
    <row r="8" spans="1:7" hidden="1" x14ac:dyDescent="0.3">
      <c r="A8" s="4" t="s">
        <v>22</v>
      </c>
      <c r="B8" s="3">
        <v>45316</v>
      </c>
      <c r="C8" t="s">
        <v>23</v>
      </c>
      <c r="D8" s="2" t="s">
        <v>13</v>
      </c>
      <c r="E8" s="2" t="s">
        <v>24</v>
      </c>
      <c r="F8" s="2">
        <v>3</v>
      </c>
      <c r="G8" s="6">
        <v>6899.97</v>
      </c>
    </row>
    <row r="9" spans="1:7" hidden="1" x14ac:dyDescent="0.3">
      <c r="A9" s="4" t="s">
        <v>25</v>
      </c>
      <c r="B9" s="3">
        <v>44954</v>
      </c>
      <c r="C9" t="s">
        <v>26</v>
      </c>
      <c r="D9" s="2" t="s">
        <v>17</v>
      </c>
      <c r="E9" s="2" t="s">
        <v>27</v>
      </c>
      <c r="F9" s="2">
        <v>20</v>
      </c>
      <c r="G9" s="5">
        <v>1600</v>
      </c>
    </row>
    <row r="10" spans="1:7" hidden="1" x14ac:dyDescent="0.3">
      <c r="A10" s="4" t="s">
        <v>28</v>
      </c>
      <c r="B10" s="1">
        <v>44959</v>
      </c>
      <c r="C10" t="s">
        <v>8</v>
      </c>
      <c r="D10" s="2" t="s">
        <v>9</v>
      </c>
      <c r="E10" s="2" t="s">
        <v>29</v>
      </c>
      <c r="F10" s="2">
        <v>1</v>
      </c>
      <c r="G10" s="5">
        <v>32000</v>
      </c>
    </row>
    <row r="11" spans="1:7" hidden="1" x14ac:dyDescent="0.3">
      <c r="A11" s="4" t="s">
        <v>30</v>
      </c>
      <c r="B11" s="1">
        <v>45048</v>
      </c>
      <c r="C11" t="s">
        <v>31</v>
      </c>
      <c r="D11" s="2" t="s">
        <v>13</v>
      </c>
      <c r="E11" s="2" t="s">
        <v>32</v>
      </c>
      <c r="F11" s="2">
        <v>2</v>
      </c>
      <c r="G11" s="5">
        <v>6598</v>
      </c>
    </row>
    <row r="12" spans="1:7" hidden="1" x14ac:dyDescent="0.3">
      <c r="A12" s="4" t="s">
        <v>33</v>
      </c>
      <c r="B12" s="1">
        <v>45140</v>
      </c>
      <c r="C12" t="s">
        <v>16</v>
      </c>
      <c r="D12" s="2" t="s">
        <v>17</v>
      </c>
      <c r="E12" s="2" t="s">
        <v>34</v>
      </c>
      <c r="F12" s="2">
        <v>6</v>
      </c>
      <c r="G12" s="5">
        <v>1264.5</v>
      </c>
    </row>
    <row r="13" spans="1:7" hidden="1" x14ac:dyDescent="0.3">
      <c r="A13" s="4" t="s">
        <v>35</v>
      </c>
      <c r="B13" s="1">
        <v>45262</v>
      </c>
      <c r="C13" t="s">
        <v>20</v>
      </c>
      <c r="D13" s="2" t="s">
        <v>9</v>
      </c>
      <c r="E13" s="2" t="s">
        <v>36</v>
      </c>
      <c r="F13" s="2">
        <v>4</v>
      </c>
      <c r="G13" s="6">
        <v>5199.96</v>
      </c>
    </row>
    <row r="14" spans="1:7" hidden="1" x14ac:dyDescent="0.3">
      <c r="A14" s="4" t="s">
        <v>37</v>
      </c>
      <c r="B14" s="3">
        <v>44972</v>
      </c>
      <c r="C14" s="2" t="s">
        <v>38</v>
      </c>
      <c r="D14" s="2" t="s">
        <v>13</v>
      </c>
      <c r="E14" s="2" t="s">
        <v>39</v>
      </c>
      <c r="F14" s="2">
        <v>1</v>
      </c>
      <c r="G14" s="5">
        <v>5499</v>
      </c>
    </row>
    <row r="15" spans="1:7" hidden="1" x14ac:dyDescent="0.3">
      <c r="A15" s="4" t="s">
        <v>40</v>
      </c>
      <c r="B15" s="3">
        <v>45340</v>
      </c>
      <c r="C15" s="2" t="s">
        <v>12</v>
      </c>
      <c r="D15" s="2" t="s">
        <v>9</v>
      </c>
      <c r="E15" s="2" t="s">
        <v>41</v>
      </c>
      <c r="F15" s="2">
        <v>3</v>
      </c>
      <c r="G15" s="5">
        <v>13498.5</v>
      </c>
    </row>
    <row r="16" spans="1:7" hidden="1" x14ac:dyDescent="0.3">
      <c r="A16" s="4" t="s">
        <v>42</v>
      </c>
      <c r="B16" s="3">
        <v>45342</v>
      </c>
      <c r="C16" s="2" t="s">
        <v>23</v>
      </c>
      <c r="D16" s="2" t="s">
        <v>17</v>
      </c>
      <c r="E16" s="2" t="s">
        <v>43</v>
      </c>
      <c r="F16" s="2">
        <v>11</v>
      </c>
      <c r="G16" s="5">
        <v>1440</v>
      </c>
    </row>
    <row r="17" spans="1:7" hidden="1" x14ac:dyDescent="0.3">
      <c r="A17" s="4" t="s">
        <v>44</v>
      </c>
      <c r="B17" s="3">
        <v>45347</v>
      </c>
      <c r="C17" s="2" t="s">
        <v>8</v>
      </c>
      <c r="D17" s="2" t="s">
        <v>9</v>
      </c>
      <c r="E17" s="2" t="s">
        <v>45</v>
      </c>
      <c r="F17" s="2">
        <v>2</v>
      </c>
      <c r="G17" s="6">
        <v>39999.980000000003</v>
      </c>
    </row>
    <row r="18" spans="1:7" hidden="1" x14ac:dyDescent="0.3">
      <c r="A18" s="4" t="s">
        <v>46</v>
      </c>
      <c r="B18" s="3">
        <v>44985</v>
      </c>
      <c r="C18" s="2" t="s">
        <v>47</v>
      </c>
      <c r="D18" s="2" t="s">
        <v>13</v>
      </c>
      <c r="E18" s="2" t="s">
        <v>48</v>
      </c>
      <c r="F18" s="2">
        <v>4</v>
      </c>
      <c r="G18" s="5">
        <v>5997</v>
      </c>
    </row>
    <row r="19" spans="1:7" hidden="1" x14ac:dyDescent="0.3">
      <c r="A19" s="4" t="s">
        <v>49</v>
      </c>
      <c r="B19" s="1">
        <v>44960</v>
      </c>
      <c r="C19" s="2" t="s">
        <v>16</v>
      </c>
      <c r="D19" s="2" t="s">
        <v>17</v>
      </c>
      <c r="E19" s="2" t="s">
        <v>50</v>
      </c>
      <c r="F19" s="2">
        <v>15</v>
      </c>
      <c r="G19" s="5">
        <v>682.5</v>
      </c>
    </row>
    <row r="20" spans="1:7" hidden="1" x14ac:dyDescent="0.3">
      <c r="A20" s="4" t="s">
        <v>51</v>
      </c>
      <c r="B20" s="1">
        <v>45049</v>
      </c>
      <c r="C20" s="2" t="s">
        <v>20</v>
      </c>
      <c r="D20" s="2" t="s">
        <v>9</v>
      </c>
      <c r="E20" s="2" t="s">
        <v>52</v>
      </c>
      <c r="F20" s="2">
        <v>1</v>
      </c>
      <c r="G20" s="5">
        <v>84000</v>
      </c>
    </row>
    <row r="21" spans="1:7" hidden="1" x14ac:dyDescent="0.3">
      <c r="A21" s="4" t="s">
        <v>53</v>
      </c>
      <c r="B21" s="1">
        <v>45141</v>
      </c>
      <c r="C21" s="2" t="s">
        <v>26</v>
      </c>
      <c r="D21" s="2" t="s">
        <v>13</v>
      </c>
      <c r="E21" s="2" t="s">
        <v>54</v>
      </c>
      <c r="F21" s="2">
        <v>2</v>
      </c>
      <c r="G21" s="6">
        <v>4199.9799999999996</v>
      </c>
    </row>
    <row r="22" spans="1:7" hidden="1" x14ac:dyDescent="0.3">
      <c r="A22" s="4" t="s">
        <v>55</v>
      </c>
      <c r="B22" s="1">
        <v>45233</v>
      </c>
      <c r="C22" s="2" t="s">
        <v>12</v>
      </c>
      <c r="D22" s="2" t="s">
        <v>17</v>
      </c>
      <c r="E22" s="2" t="s">
        <v>56</v>
      </c>
      <c r="F22" s="2">
        <v>8</v>
      </c>
      <c r="G22" s="5">
        <v>1446</v>
      </c>
    </row>
    <row r="23" spans="1:7" hidden="1" x14ac:dyDescent="0.3">
      <c r="A23" s="4" t="s">
        <v>57</v>
      </c>
      <c r="B23" s="3">
        <v>44999</v>
      </c>
      <c r="C23" s="2" t="s">
        <v>8</v>
      </c>
      <c r="D23" s="2" t="s">
        <v>9</v>
      </c>
      <c r="E23" s="2" t="s">
        <v>58</v>
      </c>
      <c r="F23" s="2">
        <v>3</v>
      </c>
      <c r="G23" s="5">
        <v>23997</v>
      </c>
    </row>
    <row r="24" spans="1:7" hidden="1" x14ac:dyDescent="0.3">
      <c r="A24" s="4" t="s">
        <v>59</v>
      </c>
      <c r="B24" s="3">
        <v>45002</v>
      </c>
      <c r="C24" s="2" t="s">
        <v>31</v>
      </c>
      <c r="D24" s="2" t="s">
        <v>13</v>
      </c>
      <c r="E24" s="2" t="s">
        <v>60</v>
      </c>
      <c r="F24" s="2">
        <v>5</v>
      </c>
      <c r="G24" s="6">
        <v>5499.95</v>
      </c>
    </row>
    <row r="25" spans="1:7" hidden="1" x14ac:dyDescent="0.3">
      <c r="A25" s="4" t="s">
        <v>61</v>
      </c>
      <c r="B25" s="3">
        <v>45371</v>
      </c>
      <c r="C25" s="2" t="s">
        <v>23</v>
      </c>
      <c r="D25" s="2" t="s">
        <v>17</v>
      </c>
      <c r="E25" s="2" t="s">
        <v>62</v>
      </c>
      <c r="F25" s="2">
        <v>7</v>
      </c>
      <c r="G25" s="5">
        <v>1960</v>
      </c>
    </row>
    <row r="26" spans="1:7" x14ac:dyDescent="0.3">
      <c r="A26" s="4" t="s">
        <v>63</v>
      </c>
      <c r="B26" s="3">
        <v>45374</v>
      </c>
      <c r="C26" s="2" t="s">
        <v>16</v>
      </c>
      <c r="D26" s="2" t="s">
        <v>9</v>
      </c>
      <c r="E26" s="2" t="s">
        <v>64</v>
      </c>
      <c r="F26" s="2">
        <v>1</v>
      </c>
      <c r="G26" s="5">
        <v>195000</v>
      </c>
    </row>
    <row r="27" spans="1:7" hidden="1" x14ac:dyDescent="0.3">
      <c r="A27" s="4" t="s">
        <v>65</v>
      </c>
      <c r="B27" s="3">
        <v>45377</v>
      </c>
      <c r="C27" s="2" t="s">
        <v>20</v>
      </c>
      <c r="D27" s="2" t="s">
        <v>13</v>
      </c>
      <c r="E27" s="2" t="s">
        <v>66</v>
      </c>
      <c r="F27" s="2">
        <v>6</v>
      </c>
      <c r="G27" s="5">
        <v>7194</v>
      </c>
    </row>
    <row r="28" spans="1:7" hidden="1" x14ac:dyDescent="0.3">
      <c r="A28" s="4" t="s">
        <v>67</v>
      </c>
      <c r="B28" s="3">
        <v>45380</v>
      </c>
      <c r="C28" s="2" t="s">
        <v>38</v>
      </c>
      <c r="D28" s="2" t="s">
        <v>17</v>
      </c>
      <c r="E28" s="2" t="s">
        <v>68</v>
      </c>
      <c r="F28" s="2">
        <v>3</v>
      </c>
      <c r="G28" s="5">
        <v>1050</v>
      </c>
    </row>
    <row r="29" spans="1:7" hidden="1" x14ac:dyDescent="0.3">
      <c r="A29" s="4" t="s">
        <v>69</v>
      </c>
      <c r="B29" s="1">
        <v>44930</v>
      </c>
      <c r="C29" s="2" t="s">
        <v>8</v>
      </c>
      <c r="D29" s="2" t="s">
        <v>9</v>
      </c>
      <c r="E29" s="2" t="s">
        <v>70</v>
      </c>
      <c r="F29" s="2">
        <v>2</v>
      </c>
      <c r="G29" s="5">
        <v>25000</v>
      </c>
    </row>
    <row r="30" spans="1:7" hidden="1" x14ac:dyDescent="0.3">
      <c r="A30" s="4" t="s">
        <v>71</v>
      </c>
      <c r="B30" s="1">
        <v>45020</v>
      </c>
      <c r="C30" s="2" t="s">
        <v>12</v>
      </c>
      <c r="D30" s="2" t="s">
        <v>13</v>
      </c>
      <c r="E30" s="2" t="s">
        <v>72</v>
      </c>
      <c r="F30" s="2">
        <v>3</v>
      </c>
      <c r="G30" s="6">
        <v>2999.97</v>
      </c>
    </row>
    <row r="31" spans="1:7" hidden="1" x14ac:dyDescent="0.3">
      <c r="A31" s="4" t="s">
        <v>73</v>
      </c>
      <c r="B31" s="1">
        <v>45111</v>
      </c>
      <c r="C31" s="2" t="s">
        <v>47</v>
      </c>
      <c r="D31" s="2" t="s">
        <v>17</v>
      </c>
      <c r="E31" s="2" t="s">
        <v>74</v>
      </c>
      <c r="F31" s="2">
        <v>10</v>
      </c>
      <c r="G31" s="5">
        <v>1200</v>
      </c>
    </row>
    <row r="32" spans="1:7" hidden="1" x14ac:dyDescent="0.3">
      <c r="A32" s="4" t="s">
        <v>75</v>
      </c>
      <c r="B32" s="1">
        <v>45203</v>
      </c>
      <c r="C32" s="2" t="s">
        <v>16</v>
      </c>
      <c r="D32" s="2" t="s">
        <v>9</v>
      </c>
      <c r="E32" s="2" t="s">
        <v>76</v>
      </c>
      <c r="F32" s="2">
        <v>1</v>
      </c>
      <c r="G32" s="5">
        <v>85000</v>
      </c>
    </row>
    <row r="33" spans="1:7" hidden="1" x14ac:dyDescent="0.3">
      <c r="A33" s="4" t="s">
        <v>77</v>
      </c>
      <c r="B33" s="3">
        <v>45029</v>
      </c>
      <c r="C33" s="2" t="s">
        <v>23</v>
      </c>
      <c r="D33" s="2" t="s">
        <v>13</v>
      </c>
      <c r="E33" s="2" t="s">
        <v>78</v>
      </c>
      <c r="F33" s="2">
        <v>2</v>
      </c>
      <c r="G33" s="5">
        <v>2999</v>
      </c>
    </row>
    <row r="34" spans="1:7" hidden="1" x14ac:dyDescent="0.3">
      <c r="A34" s="4" t="s">
        <v>79</v>
      </c>
      <c r="B34" s="3">
        <v>45032</v>
      </c>
      <c r="C34" s="2" t="s">
        <v>20</v>
      </c>
      <c r="D34" s="2" t="s">
        <v>17</v>
      </c>
      <c r="E34" s="2" t="s">
        <v>80</v>
      </c>
      <c r="F34" s="2">
        <v>25</v>
      </c>
      <c r="G34" s="5">
        <v>550</v>
      </c>
    </row>
    <row r="35" spans="1:7" hidden="1" x14ac:dyDescent="0.3">
      <c r="A35" s="4" t="s">
        <v>81</v>
      </c>
      <c r="B35" s="3">
        <v>45035</v>
      </c>
      <c r="C35" s="2" t="s">
        <v>26</v>
      </c>
      <c r="D35" s="2" t="s">
        <v>9</v>
      </c>
      <c r="E35" s="2" t="s">
        <v>82</v>
      </c>
      <c r="F35" s="2">
        <v>1</v>
      </c>
      <c r="G35" s="5">
        <v>30000</v>
      </c>
    </row>
    <row r="36" spans="1:7" hidden="1" x14ac:dyDescent="0.3">
      <c r="A36" s="4" t="s">
        <v>83</v>
      </c>
      <c r="B36" s="3">
        <v>45038</v>
      </c>
      <c r="C36" s="2" t="s">
        <v>8</v>
      </c>
      <c r="D36" s="2" t="s">
        <v>13</v>
      </c>
      <c r="E36" s="2" t="s">
        <v>84</v>
      </c>
      <c r="F36" s="2">
        <v>1</v>
      </c>
      <c r="G36" s="6">
        <v>9999.99</v>
      </c>
    </row>
    <row r="37" spans="1:7" hidden="1" x14ac:dyDescent="0.3">
      <c r="A37" s="4" t="s">
        <v>85</v>
      </c>
      <c r="B37" s="3">
        <v>45407</v>
      </c>
      <c r="C37" s="2" t="s">
        <v>12</v>
      </c>
      <c r="D37" s="2" t="s">
        <v>17</v>
      </c>
      <c r="E37" s="2" t="s">
        <v>86</v>
      </c>
      <c r="F37" s="2">
        <v>12</v>
      </c>
      <c r="G37" s="5">
        <v>2200</v>
      </c>
    </row>
    <row r="38" spans="1:7" hidden="1" x14ac:dyDescent="0.3">
      <c r="A38" s="4" t="s">
        <v>87</v>
      </c>
      <c r="B38" s="3">
        <v>45410</v>
      </c>
      <c r="C38" s="2" t="s">
        <v>31</v>
      </c>
      <c r="D38" s="2" t="s">
        <v>9</v>
      </c>
      <c r="E38" s="2" t="s">
        <v>88</v>
      </c>
      <c r="F38" s="2">
        <v>1</v>
      </c>
      <c r="G38" s="5">
        <v>42000</v>
      </c>
    </row>
    <row r="39" spans="1:7" hidden="1" x14ac:dyDescent="0.3">
      <c r="A39" s="4" t="s">
        <v>89</v>
      </c>
      <c r="B39" s="1">
        <v>44931</v>
      </c>
      <c r="C39" s="2" t="s">
        <v>16</v>
      </c>
      <c r="D39" s="2" t="s">
        <v>13</v>
      </c>
      <c r="E39" s="2" t="s">
        <v>90</v>
      </c>
      <c r="F39" s="2">
        <v>4</v>
      </c>
      <c r="G39" s="5">
        <v>9996</v>
      </c>
    </row>
    <row r="40" spans="1:7" hidden="1" x14ac:dyDescent="0.3">
      <c r="A40" s="4" t="s">
        <v>91</v>
      </c>
      <c r="B40" s="1">
        <v>45021</v>
      </c>
      <c r="C40" s="2" t="s">
        <v>23</v>
      </c>
      <c r="D40" s="2" t="s">
        <v>17</v>
      </c>
      <c r="E40" s="2" t="s">
        <v>92</v>
      </c>
      <c r="F40" s="2">
        <v>9</v>
      </c>
      <c r="G40" s="5">
        <v>1170</v>
      </c>
    </row>
    <row r="41" spans="1:7" hidden="1" x14ac:dyDescent="0.3">
      <c r="A41" s="4" t="s">
        <v>93</v>
      </c>
      <c r="B41" s="1">
        <v>45112</v>
      </c>
      <c r="C41" s="2" t="s">
        <v>38</v>
      </c>
      <c r="D41" s="2" t="s">
        <v>9</v>
      </c>
      <c r="E41" s="2" t="s">
        <v>94</v>
      </c>
      <c r="F41" s="2">
        <v>2</v>
      </c>
      <c r="G41" s="5">
        <v>18000</v>
      </c>
    </row>
    <row r="42" spans="1:7" hidden="1" x14ac:dyDescent="0.3">
      <c r="A42" s="4" t="s">
        <v>95</v>
      </c>
      <c r="B42" s="1">
        <v>45204</v>
      </c>
      <c r="C42" s="2" t="s">
        <v>20</v>
      </c>
      <c r="D42" s="2" t="s">
        <v>13</v>
      </c>
      <c r="E42" s="2" t="s">
        <v>96</v>
      </c>
      <c r="F42" s="2">
        <v>5</v>
      </c>
      <c r="G42" s="6">
        <v>5999.95</v>
      </c>
    </row>
    <row r="43" spans="1:7" hidden="1" x14ac:dyDescent="0.3">
      <c r="A43" s="4" t="s">
        <v>97</v>
      </c>
      <c r="B43" s="3">
        <v>45059</v>
      </c>
      <c r="C43" s="2" t="s">
        <v>8</v>
      </c>
      <c r="D43" s="2" t="s">
        <v>17</v>
      </c>
      <c r="E43" s="2" t="s">
        <v>98</v>
      </c>
      <c r="F43" s="2">
        <v>8</v>
      </c>
      <c r="G43" s="5">
        <v>1680</v>
      </c>
    </row>
    <row r="44" spans="1:7" hidden="1" x14ac:dyDescent="0.3">
      <c r="A44" s="4" t="s">
        <v>99</v>
      </c>
      <c r="B44" s="3">
        <v>45062</v>
      </c>
      <c r="C44" s="2" t="s">
        <v>47</v>
      </c>
      <c r="D44" s="2" t="s">
        <v>9</v>
      </c>
      <c r="E44" s="2" t="s">
        <v>100</v>
      </c>
      <c r="F44" s="2">
        <v>3</v>
      </c>
      <c r="G44" s="6">
        <v>4499.97</v>
      </c>
    </row>
    <row r="45" spans="1:7" hidden="1" x14ac:dyDescent="0.3">
      <c r="A45" s="4" t="s">
        <v>101</v>
      </c>
      <c r="B45" s="3">
        <v>45065</v>
      </c>
      <c r="C45" s="2" t="s">
        <v>12</v>
      </c>
      <c r="D45" s="2" t="s">
        <v>13</v>
      </c>
      <c r="E45" s="2" t="s">
        <v>102</v>
      </c>
      <c r="F45" s="2">
        <v>2</v>
      </c>
      <c r="G45" s="5">
        <v>5999</v>
      </c>
    </row>
    <row r="46" spans="1:7" hidden="1" x14ac:dyDescent="0.3">
      <c r="A46" s="4" t="s">
        <v>103</v>
      </c>
      <c r="B46" s="3">
        <v>45068</v>
      </c>
      <c r="C46" s="2" t="s">
        <v>16</v>
      </c>
      <c r="D46" s="2" t="s">
        <v>17</v>
      </c>
      <c r="E46" s="2" t="s">
        <v>104</v>
      </c>
      <c r="F46" s="2">
        <v>6</v>
      </c>
      <c r="G46" s="5">
        <v>1500</v>
      </c>
    </row>
    <row r="47" spans="1:7" hidden="1" x14ac:dyDescent="0.3">
      <c r="A47" s="4" t="s">
        <v>105</v>
      </c>
      <c r="B47" s="3">
        <v>45071</v>
      </c>
      <c r="C47" s="2" t="s">
        <v>23</v>
      </c>
      <c r="D47" s="2" t="s">
        <v>9</v>
      </c>
      <c r="E47" s="2" t="s">
        <v>106</v>
      </c>
      <c r="F47" s="2">
        <v>2</v>
      </c>
      <c r="G47" s="6">
        <v>3999.98</v>
      </c>
    </row>
    <row r="48" spans="1:7" hidden="1" x14ac:dyDescent="0.3">
      <c r="A48" s="4" t="s">
        <v>107</v>
      </c>
      <c r="B48" s="3">
        <v>45440</v>
      </c>
      <c r="C48" s="2" t="s">
        <v>26</v>
      </c>
      <c r="D48" s="2" t="s">
        <v>13</v>
      </c>
      <c r="E48" s="2" t="s">
        <v>108</v>
      </c>
      <c r="F48" s="2">
        <v>4</v>
      </c>
      <c r="G48" s="5">
        <v>5196</v>
      </c>
    </row>
    <row r="49" spans="1:7" hidden="1" x14ac:dyDescent="0.3">
      <c r="A49" s="4" t="s">
        <v>109</v>
      </c>
      <c r="B49" s="3">
        <v>45443</v>
      </c>
      <c r="C49" s="2" t="s">
        <v>20</v>
      </c>
      <c r="D49" s="2" t="s">
        <v>17</v>
      </c>
      <c r="E49" s="2" t="s">
        <v>110</v>
      </c>
      <c r="F49" s="2">
        <v>3</v>
      </c>
      <c r="G49" s="5">
        <v>1650</v>
      </c>
    </row>
    <row r="50" spans="1:7" hidden="1" x14ac:dyDescent="0.3">
      <c r="A50" s="4" t="s">
        <v>111</v>
      </c>
      <c r="B50" s="1">
        <v>44991</v>
      </c>
      <c r="C50" s="2" t="s">
        <v>8</v>
      </c>
      <c r="D50" s="2" t="s">
        <v>9</v>
      </c>
      <c r="E50" s="2" t="s">
        <v>112</v>
      </c>
      <c r="F50" s="2">
        <v>1</v>
      </c>
      <c r="G50" s="5">
        <v>65000</v>
      </c>
    </row>
    <row r="51" spans="1:7" hidden="1" x14ac:dyDescent="0.3">
      <c r="A51" s="4" t="s">
        <v>113</v>
      </c>
      <c r="B51" s="1">
        <v>45083</v>
      </c>
      <c r="C51" s="2" t="s">
        <v>31</v>
      </c>
      <c r="D51" s="2" t="s">
        <v>13</v>
      </c>
      <c r="E51" s="2" t="s">
        <v>114</v>
      </c>
      <c r="F51" s="2">
        <v>7</v>
      </c>
      <c r="G51" s="6">
        <v>4500.93</v>
      </c>
    </row>
    <row r="52" spans="1:7" hidden="1" x14ac:dyDescent="0.3">
      <c r="A52" s="4" t="s">
        <v>115</v>
      </c>
      <c r="B52" s="1">
        <v>45175</v>
      </c>
      <c r="C52" s="2" t="s">
        <v>16</v>
      </c>
      <c r="D52" s="2" t="s">
        <v>17</v>
      </c>
      <c r="E52" s="2" t="s">
        <v>116</v>
      </c>
      <c r="F52" s="2">
        <v>14</v>
      </c>
      <c r="G52" s="5">
        <v>1330</v>
      </c>
    </row>
    <row r="53" spans="1:7" hidden="1" x14ac:dyDescent="0.3">
      <c r="A53" s="10" t="s">
        <v>117</v>
      </c>
      <c r="B53" s="11">
        <v>45632</v>
      </c>
      <c r="C53" s="12" t="s">
        <v>12</v>
      </c>
      <c r="D53" s="12" t="s">
        <v>9</v>
      </c>
      <c r="E53" s="12" t="s">
        <v>118</v>
      </c>
      <c r="F53" s="12">
        <v>2</v>
      </c>
      <c r="G53" s="13">
        <v>11998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475B-1198-4763-8439-959B5D594705}">
  <dimension ref="A1:G51"/>
  <sheetViews>
    <sheetView workbookViewId="0">
      <selection activeCell="G65" sqref="G65"/>
    </sheetView>
  </sheetViews>
  <sheetFormatPr defaultRowHeight="14.4" x14ac:dyDescent="0.3"/>
  <cols>
    <col min="2" max="2" width="17.33203125" customWidth="1"/>
    <col min="3" max="3" width="14.6640625" customWidth="1"/>
    <col min="4" max="4" width="16.77734375" customWidth="1"/>
    <col min="5" max="5" width="18.5546875" customWidth="1"/>
    <col min="6" max="6" width="12.21875" customWidth="1"/>
    <col min="7" max="7" width="12.33203125" customWidth="1"/>
  </cols>
  <sheetData>
    <row r="1" spans="1:7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hidden="1" x14ac:dyDescent="0.3">
      <c r="A2" s="4" t="s">
        <v>7</v>
      </c>
      <c r="B2" s="1">
        <v>45261</v>
      </c>
      <c r="C2" t="s">
        <v>8</v>
      </c>
      <c r="D2" s="2" t="s">
        <v>9</v>
      </c>
      <c r="E2" s="2" t="s">
        <v>10</v>
      </c>
      <c r="F2" s="2">
        <v>2</v>
      </c>
      <c r="G2" s="5">
        <v>15500</v>
      </c>
    </row>
    <row r="3" spans="1:7" hidden="1" x14ac:dyDescent="0.3">
      <c r="A3" s="4" t="s">
        <v>11</v>
      </c>
      <c r="B3" s="3">
        <v>44941</v>
      </c>
      <c r="C3" t="s">
        <v>12</v>
      </c>
      <c r="D3" s="2" t="s">
        <v>13</v>
      </c>
      <c r="E3" s="2" t="s">
        <v>14</v>
      </c>
      <c r="F3" s="2">
        <v>5</v>
      </c>
      <c r="G3" s="5">
        <v>5997.5</v>
      </c>
    </row>
    <row r="4" spans="1:7" hidden="1" x14ac:dyDescent="0.3">
      <c r="A4" s="4" t="s">
        <v>15</v>
      </c>
      <c r="B4" s="3">
        <v>44946</v>
      </c>
      <c r="C4" t="s">
        <v>16</v>
      </c>
      <c r="D4" s="2" t="s">
        <v>17</v>
      </c>
      <c r="E4" s="2" t="s">
        <v>18</v>
      </c>
      <c r="F4" s="2">
        <v>10</v>
      </c>
      <c r="G4" s="5">
        <v>4500</v>
      </c>
    </row>
    <row r="5" spans="1:7" x14ac:dyDescent="0.3">
      <c r="A5" s="4" t="s">
        <v>19</v>
      </c>
      <c r="B5" s="3">
        <v>45313</v>
      </c>
      <c r="C5" t="s">
        <v>20</v>
      </c>
      <c r="D5" s="2" t="s">
        <v>9</v>
      </c>
      <c r="E5" s="2" t="s">
        <v>21</v>
      </c>
      <c r="F5" s="2">
        <v>1</v>
      </c>
      <c r="G5" s="5">
        <v>75000</v>
      </c>
    </row>
    <row r="6" spans="1:7" hidden="1" x14ac:dyDescent="0.3">
      <c r="A6" s="4" t="s">
        <v>22</v>
      </c>
      <c r="B6" s="3">
        <v>45316</v>
      </c>
      <c r="C6" t="s">
        <v>23</v>
      </c>
      <c r="D6" s="2" t="s">
        <v>13</v>
      </c>
      <c r="E6" s="2" t="s">
        <v>24</v>
      </c>
      <c r="F6" s="2">
        <v>3</v>
      </c>
      <c r="G6" s="6">
        <v>6899.97</v>
      </c>
    </row>
    <row r="7" spans="1:7" hidden="1" x14ac:dyDescent="0.3">
      <c r="A7" s="4" t="s">
        <v>25</v>
      </c>
      <c r="B7" s="3">
        <v>44954</v>
      </c>
      <c r="C7" t="s">
        <v>26</v>
      </c>
      <c r="D7" s="2" t="s">
        <v>17</v>
      </c>
      <c r="E7" s="2" t="s">
        <v>27</v>
      </c>
      <c r="F7" s="2">
        <v>20</v>
      </c>
      <c r="G7" s="5">
        <v>1600</v>
      </c>
    </row>
    <row r="8" spans="1:7" hidden="1" x14ac:dyDescent="0.3">
      <c r="A8" s="4" t="s">
        <v>28</v>
      </c>
      <c r="B8" s="1">
        <v>44959</v>
      </c>
      <c r="C8" t="s">
        <v>8</v>
      </c>
      <c r="D8" s="2" t="s">
        <v>9</v>
      </c>
      <c r="E8" s="2" t="s">
        <v>45</v>
      </c>
      <c r="F8" s="2">
        <v>1</v>
      </c>
      <c r="G8" s="5">
        <v>32000</v>
      </c>
    </row>
    <row r="9" spans="1:7" hidden="1" x14ac:dyDescent="0.3">
      <c r="A9" s="4" t="s">
        <v>30</v>
      </c>
      <c r="B9" s="1">
        <v>45048</v>
      </c>
      <c r="C9" t="s">
        <v>31</v>
      </c>
      <c r="D9" s="2" t="s">
        <v>13</v>
      </c>
      <c r="E9" s="2" t="s">
        <v>48</v>
      </c>
      <c r="F9" s="2">
        <v>2</v>
      </c>
      <c r="G9" s="5">
        <v>6598</v>
      </c>
    </row>
    <row r="10" spans="1:7" hidden="1" x14ac:dyDescent="0.3">
      <c r="A10" s="4" t="s">
        <v>33</v>
      </c>
      <c r="B10" s="1">
        <v>45140</v>
      </c>
      <c r="C10" t="s">
        <v>16</v>
      </c>
      <c r="D10" s="2" t="s">
        <v>17</v>
      </c>
      <c r="E10" s="2" t="s">
        <v>50</v>
      </c>
      <c r="F10" s="2">
        <v>6</v>
      </c>
      <c r="G10" s="5">
        <v>1264.5</v>
      </c>
    </row>
    <row r="11" spans="1:7" hidden="1" x14ac:dyDescent="0.3">
      <c r="A11" s="4" t="s">
        <v>35</v>
      </c>
      <c r="B11" s="1">
        <v>45262</v>
      </c>
      <c r="C11" t="s">
        <v>20</v>
      </c>
      <c r="D11" s="2" t="s">
        <v>9</v>
      </c>
      <c r="E11" s="2" t="s">
        <v>10</v>
      </c>
      <c r="F11" s="2">
        <v>4</v>
      </c>
      <c r="G11" s="6">
        <v>5199.96</v>
      </c>
    </row>
    <row r="12" spans="1:7" hidden="1" x14ac:dyDescent="0.3">
      <c r="A12" s="4" t="s">
        <v>37</v>
      </c>
      <c r="B12" s="3">
        <v>44972</v>
      </c>
      <c r="C12" s="2" t="s">
        <v>38</v>
      </c>
      <c r="D12" s="2" t="s">
        <v>13</v>
      </c>
      <c r="E12" s="2" t="s">
        <v>14</v>
      </c>
      <c r="F12" s="2">
        <v>1</v>
      </c>
      <c r="G12" s="5">
        <v>5499</v>
      </c>
    </row>
    <row r="13" spans="1:7" hidden="1" x14ac:dyDescent="0.3">
      <c r="A13" s="4" t="s">
        <v>40</v>
      </c>
      <c r="B13" s="3">
        <v>45340</v>
      </c>
      <c r="C13" s="2" t="s">
        <v>12</v>
      </c>
      <c r="D13" s="2" t="s">
        <v>9</v>
      </c>
      <c r="E13" s="2" t="s">
        <v>21</v>
      </c>
      <c r="F13" s="2">
        <v>3</v>
      </c>
      <c r="G13" s="5">
        <v>13498.5</v>
      </c>
    </row>
    <row r="14" spans="1:7" hidden="1" x14ac:dyDescent="0.3">
      <c r="A14" s="4" t="s">
        <v>42</v>
      </c>
      <c r="B14" s="3">
        <v>45342</v>
      </c>
      <c r="C14" s="2" t="s">
        <v>23</v>
      </c>
      <c r="D14" s="2" t="s">
        <v>17</v>
      </c>
      <c r="E14" s="2" t="s">
        <v>18</v>
      </c>
      <c r="F14" s="2">
        <v>11</v>
      </c>
      <c r="G14" s="5">
        <v>1440</v>
      </c>
    </row>
    <row r="15" spans="1:7" hidden="1" x14ac:dyDescent="0.3">
      <c r="A15" s="4" t="s">
        <v>44</v>
      </c>
      <c r="B15" s="3">
        <v>45347</v>
      </c>
      <c r="C15" s="2" t="s">
        <v>8</v>
      </c>
      <c r="D15" s="2" t="s">
        <v>9</v>
      </c>
      <c r="E15" s="2" t="s">
        <v>45</v>
      </c>
      <c r="F15" s="2">
        <v>2</v>
      </c>
      <c r="G15" s="6">
        <v>39999.980000000003</v>
      </c>
    </row>
    <row r="16" spans="1:7" hidden="1" x14ac:dyDescent="0.3">
      <c r="A16" s="4" t="s">
        <v>46</v>
      </c>
      <c r="B16" s="3">
        <v>44985</v>
      </c>
      <c r="C16" s="2" t="s">
        <v>47</v>
      </c>
      <c r="D16" s="2" t="s">
        <v>13</v>
      </c>
      <c r="E16" s="2" t="s">
        <v>24</v>
      </c>
      <c r="F16" s="2">
        <v>4</v>
      </c>
      <c r="G16" s="5">
        <v>5997</v>
      </c>
    </row>
    <row r="17" spans="1:7" hidden="1" x14ac:dyDescent="0.3">
      <c r="A17" s="4" t="s">
        <v>49</v>
      </c>
      <c r="B17" s="1">
        <v>44960</v>
      </c>
      <c r="C17" s="2" t="s">
        <v>16</v>
      </c>
      <c r="D17" s="2" t="s">
        <v>17</v>
      </c>
      <c r="E17" s="2" t="s">
        <v>18</v>
      </c>
      <c r="F17" s="2">
        <v>15</v>
      </c>
      <c r="G17" s="5">
        <v>682.5</v>
      </c>
    </row>
    <row r="18" spans="1:7" x14ac:dyDescent="0.3">
      <c r="A18" s="4" t="s">
        <v>51</v>
      </c>
      <c r="B18" s="1">
        <v>45049</v>
      </c>
      <c r="C18" s="2" t="s">
        <v>20</v>
      </c>
      <c r="D18" s="2" t="s">
        <v>9</v>
      </c>
      <c r="E18" s="2" t="s">
        <v>21</v>
      </c>
      <c r="F18" s="2">
        <v>1</v>
      </c>
      <c r="G18" s="5">
        <v>84000</v>
      </c>
    </row>
    <row r="19" spans="1:7" hidden="1" x14ac:dyDescent="0.3">
      <c r="A19" s="4" t="s">
        <v>53</v>
      </c>
      <c r="B19" s="1">
        <v>45141</v>
      </c>
      <c r="C19" s="2" t="s">
        <v>26</v>
      </c>
      <c r="D19" s="2" t="s">
        <v>13</v>
      </c>
      <c r="E19" s="2" t="s">
        <v>14</v>
      </c>
      <c r="F19" s="2">
        <v>2</v>
      </c>
      <c r="G19" s="6">
        <v>4199.9799999999996</v>
      </c>
    </row>
    <row r="20" spans="1:7" hidden="1" x14ac:dyDescent="0.3">
      <c r="A20" s="4" t="s">
        <v>55</v>
      </c>
      <c r="B20" s="1">
        <v>45233</v>
      </c>
      <c r="C20" s="2" t="s">
        <v>12</v>
      </c>
      <c r="D20" s="2" t="s">
        <v>17</v>
      </c>
      <c r="E20" s="2" t="s">
        <v>24</v>
      </c>
      <c r="F20" s="2">
        <v>8</v>
      </c>
      <c r="G20" s="5">
        <v>1446</v>
      </c>
    </row>
    <row r="21" spans="1:7" hidden="1" x14ac:dyDescent="0.3">
      <c r="A21" s="4" t="s">
        <v>57</v>
      </c>
      <c r="B21" s="3">
        <v>44999</v>
      </c>
      <c r="C21" s="2" t="s">
        <v>8</v>
      </c>
      <c r="D21" s="2" t="s">
        <v>9</v>
      </c>
      <c r="E21" s="2" t="s">
        <v>45</v>
      </c>
      <c r="F21" s="2">
        <v>3</v>
      </c>
      <c r="G21" s="5">
        <v>23997</v>
      </c>
    </row>
    <row r="22" spans="1:7" hidden="1" x14ac:dyDescent="0.3">
      <c r="A22" s="4" t="s">
        <v>59</v>
      </c>
      <c r="B22" s="3">
        <v>45002</v>
      </c>
      <c r="C22" s="2" t="s">
        <v>31</v>
      </c>
      <c r="D22" s="2" t="s">
        <v>13</v>
      </c>
      <c r="E22" s="2" t="s">
        <v>48</v>
      </c>
      <c r="F22" s="2">
        <v>5</v>
      </c>
      <c r="G22" s="6">
        <v>5499.95</v>
      </c>
    </row>
    <row r="23" spans="1:7" hidden="1" x14ac:dyDescent="0.3">
      <c r="A23" s="4" t="s">
        <v>61</v>
      </c>
      <c r="B23" s="3">
        <v>45371</v>
      </c>
      <c r="C23" s="2" t="s">
        <v>23</v>
      </c>
      <c r="D23" s="2" t="s">
        <v>17</v>
      </c>
      <c r="E23" s="2" t="s">
        <v>27</v>
      </c>
      <c r="F23" s="2">
        <v>7</v>
      </c>
      <c r="G23" s="5">
        <v>1960</v>
      </c>
    </row>
    <row r="24" spans="1:7" x14ac:dyDescent="0.3">
      <c r="A24" s="4" t="s">
        <v>63</v>
      </c>
      <c r="B24" s="3">
        <v>45374</v>
      </c>
      <c r="C24" s="2" t="s">
        <v>16</v>
      </c>
      <c r="D24" s="2" t="s">
        <v>9</v>
      </c>
      <c r="E24" s="2" t="s">
        <v>10</v>
      </c>
      <c r="F24" s="2">
        <v>1</v>
      </c>
      <c r="G24" s="5">
        <v>195000</v>
      </c>
    </row>
    <row r="25" spans="1:7" hidden="1" x14ac:dyDescent="0.3">
      <c r="A25" s="4" t="s">
        <v>65</v>
      </c>
      <c r="B25" s="3">
        <v>45377</v>
      </c>
      <c r="C25" s="2" t="s">
        <v>20</v>
      </c>
      <c r="D25" s="2" t="s">
        <v>13</v>
      </c>
      <c r="E25" s="2" t="s">
        <v>14</v>
      </c>
      <c r="F25" s="2">
        <v>6</v>
      </c>
      <c r="G25" s="5">
        <v>7194</v>
      </c>
    </row>
    <row r="26" spans="1:7" hidden="1" x14ac:dyDescent="0.3">
      <c r="A26" s="4" t="s">
        <v>67</v>
      </c>
      <c r="B26" s="3">
        <v>45380</v>
      </c>
      <c r="C26" s="2" t="s">
        <v>38</v>
      </c>
      <c r="D26" s="2" t="s">
        <v>17</v>
      </c>
      <c r="E26" s="2" t="s">
        <v>50</v>
      </c>
      <c r="F26" s="2">
        <v>3</v>
      </c>
      <c r="G26" s="5">
        <v>1050</v>
      </c>
    </row>
    <row r="27" spans="1:7" hidden="1" x14ac:dyDescent="0.3">
      <c r="A27" s="4" t="s">
        <v>69</v>
      </c>
      <c r="B27" s="1">
        <v>44930</v>
      </c>
      <c r="C27" s="2" t="s">
        <v>8</v>
      </c>
      <c r="D27" s="2" t="s">
        <v>9</v>
      </c>
      <c r="E27" s="2" t="s">
        <v>21</v>
      </c>
      <c r="F27" s="2">
        <v>2</v>
      </c>
      <c r="G27" s="5">
        <v>25000</v>
      </c>
    </row>
    <row r="28" spans="1:7" hidden="1" x14ac:dyDescent="0.3">
      <c r="A28" s="4" t="s">
        <v>71</v>
      </c>
      <c r="B28" s="1">
        <v>45020</v>
      </c>
      <c r="C28" s="2" t="s">
        <v>12</v>
      </c>
      <c r="D28" s="2" t="s">
        <v>13</v>
      </c>
      <c r="E28" s="2" t="s">
        <v>24</v>
      </c>
      <c r="F28" s="2">
        <v>3</v>
      </c>
      <c r="G28" s="6">
        <v>2999.97</v>
      </c>
    </row>
    <row r="29" spans="1:7" hidden="1" x14ac:dyDescent="0.3">
      <c r="A29" s="4" t="s">
        <v>73</v>
      </c>
      <c r="B29" s="1">
        <v>45111</v>
      </c>
      <c r="C29" s="2" t="s">
        <v>47</v>
      </c>
      <c r="D29" s="2" t="s">
        <v>17</v>
      </c>
      <c r="E29" s="2" t="s">
        <v>127</v>
      </c>
      <c r="F29" s="2">
        <v>10</v>
      </c>
      <c r="G29" s="5">
        <v>1200</v>
      </c>
    </row>
    <row r="30" spans="1:7" x14ac:dyDescent="0.3">
      <c r="A30" s="4" t="s">
        <v>75</v>
      </c>
      <c r="B30" s="1">
        <v>45203</v>
      </c>
      <c r="C30" s="2" t="s">
        <v>16</v>
      </c>
      <c r="D30" s="2" t="s">
        <v>9</v>
      </c>
      <c r="E30" s="2" t="s">
        <v>10</v>
      </c>
      <c r="F30" s="2">
        <v>1</v>
      </c>
      <c r="G30" s="5">
        <v>85000</v>
      </c>
    </row>
    <row r="31" spans="1:7" hidden="1" x14ac:dyDescent="0.3">
      <c r="A31" s="4" t="s">
        <v>77</v>
      </c>
      <c r="B31" s="3">
        <v>45029</v>
      </c>
      <c r="C31" s="2" t="s">
        <v>23</v>
      </c>
      <c r="D31" s="2" t="s">
        <v>13</v>
      </c>
      <c r="E31" s="2" t="s">
        <v>48</v>
      </c>
      <c r="F31" s="2">
        <v>2</v>
      </c>
      <c r="G31" s="5">
        <v>2999</v>
      </c>
    </row>
    <row r="32" spans="1:7" hidden="1" x14ac:dyDescent="0.3">
      <c r="A32" s="4" t="s">
        <v>79</v>
      </c>
      <c r="B32" s="3">
        <v>45032</v>
      </c>
      <c r="C32" s="2" t="s">
        <v>20</v>
      </c>
      <c r="D32" s="2" t="s">
        <v>17</v>
      </c>
      <c r="E32" s="2" t="s">
        <v>50</v>
      </c>
      <c r="F32" s="2">
        <v>25</v>
      </c>
      <c r="G32" s="5">
        <v>550</v>
      </c>
    </row>
    <row r="33" spans="1:7" hidden="1" x14ac:dyDescent="0.3">
      <c r="A33" s="4" t="s">
        <v>81</v>
      </c>
      <c r="B33" s="3">
        <v>45035</v>
      </c>
      <c r="C33" s="2" t="s">
        <v>26</v>
      </c>
      <c r="D33" s="2" t="s">
        <v>9</v>
      </c>
      <c r="E33" s="2" t="s">
        <v>45</v>
      </c>
      <c r="F33" s="2">
        <v>1</v>
      </c>
      <c r="G33" s="5">
        <v>30000</v>
      </c>
    </row>
    <row r="34" spans="1:7" hidden="1" x14ac:dyDescent="0.3">
      <c r="A34" s="4" t="s">
        <v>83</v>
      </c>
      <c r="B34" s="3">
        <v>45038</v>
      </c>
      <c r="C34" s="2" t="s">
        <v>8</v>
      </c>
      <c r="D34" s="2" t="s">
        <v>13</v>
      </c>
      <c r="E34" s="2" t="s">
        <v>24</v>
      </c>
      <c r="F34" s="2">
        <v>1</v>
      </c>
      <c r="G34" s="6">
        <v>9999.99</v>
      </c>
    </row>
    <row r="35" spans="1:7" hidden="1" x14ac:dyDescent="0.3">
      <c r="A35" s="4" t="s">
        <v>85</v>
      </c>
      <c r="B35" s="3">
        <v>45407</v>
      </c>
      <c r="C35" s="2" t="s">
        <v>12</v>
      </c>
      <c r="D35" s="2" t="s">
        <v>17</v>
      </c>
      <c r="E35" s="2" t="s">
        <v>18</v>
      </c>
      <c r="F35" s="2">
        <v>12</v>
      </c>
      <c r="G35" s="5">
        <v>2200</v>
      </c>
    </row>
    <row r="36" spans="1:7" hidden="1" x14ac:dyDescent="0.3">
      <c r="A36" s="4" t="s">
        <v>87</v>
      </c>
      <c r="B36" s="3">
        <v>45410</v>
      </c>
      <c r="C36" s="2" t="s">
        <v>31</v>
      </c>
      <c r="D36" s="2" t="s">
        <v>9</v>
      </c>
      <c r="E36" s="2" t="s">
        <v>10</v>
      </c>
      <c r="F36" s="2">
        <v>1</v>
      </c>
      <c r="G36" s="5">
        <v>42000</v>
      </c>
    </row>
    <row r="37" spans="1:7" hidden="1" x14ac:dyDescent="0.3">
      <c r="A37" s="4" t="s">
        <v>89</v>
      </c>
      <c r="B37" s="1">
        <v>44931</v>
      </c>
      <c r="C37" s="2" t="s">
        <v>16</v>
      </c>
      <c r="D37" s="2" t="s">
        <v>13</v>
      </c>
      <c r="E37" s="2" t="s">
        <v>14</v>
      </c>
      <c r="F37" s="2">
        <v>4</v>
      </c>
      <c r="G37" s="5">
        <v>9996</v>
      </c>
    </row>
    <row r="38" spans="1:7" hidden="1" x14ac:dyDescent="0.3">
      <c r="A38" s="4" t="s">
        <v>91</v>
      </c>
      <c r="B38" s="1">
        <v>45021</v>
      </c>
      <c r="C38" s="2" t="s">
        <v>23</v>
      </c>
      <c r="D38" s="2" t="s">
        <v>17</v>
      </c>
      <c r="E38" s="2" t="s">
        <v>127</v>
      </c>
      <c r="F38" s="2">
        <v>9</v>
      </c>
      <c r="G38" s="5">
        <v>1170</v>
      </c>
    </row>
    <row r="39" spans="1:7" hidden="1" x14ac:dyDescent="0.3">
      <c r="A39" s="4" t="s">
        <v>93</v>
      </c>
      <c r="B39" s="1">
        <v>45112</v>
      </c>
      <c r="C39" s="2" t="s">
        <v>38</v>
      </c>
      <c r="D39" s="2" t="s">
        <v>9</v>
      </c>
      <c r="E39" s="2" t="s">
        <v>45</v>
      </c>
      <c r="F39" s="2">
        <v>2</v>
      </c>
      <c r="G39" s="5">
        <v>18000</v>
      </c>
    </row>
    <row r="40" spans="1:7" hidden="1" x14ac:dyDescent="0.3">
      <c r="A40" s="4" t="s">
        <v>95</v>
      </c>
      <c r="B40" s="1">
        <v>45204</v>
      </c>
      <c r="C40" s="2" t="s">
        <v>20</v>
      </c>
      <c r="D40" s="2" t="s">
        <v>13</v>
      </c>
      <c r="E40" s="2" t="s">
        <v>24</v>
      </c>
      <c r="F40" s="2">
        <v>5</v>
      </c>
      <c r="G40" s="6">
        <v>5999.95</v>
      </c>
    </row>
    <row r="41" spans="1:7" hidden="1" x14ac:dyDescent="0.3">
      <c r="A41" s="4" t="s">
        <v>97</v>
      </c>
      <c r="B41" s="3">
        <v>45059</v>
      </c>
      <c r="C41" s="2" t="s">
        <v>8</v>
      </c>
      <c r="D41" s="2" t="s">
        <v>17</v>
      </c>
      <c r="E41" s="2" t="s">
        <v>27</v>
      </c>
      <c r="F41" s="2">
        <v>8</v>
      </c>
      <c r="G41" s="5">
        <v>1680</v>
      </c>
    </row>
    <row r="42" spans="1:7" hidden="1" x14ac:dyDescent="0.3">
      <c r="A42" s="4" t="s">
        <v>99</v>
      </c>
      <c r="B42" s="3">
        <v>45062</v>
      </c>
      <c r="C42" s="2" t="s">
        <v>47</v>
      </c>
      <c r="D42" s="2" t="s">
        <v>9</v>
      </c>
      <c r="E42" s="2" t="s">
        <v>21</v>
      </c>
      <c r="F42" s="2">
        <v>3</v>
      </c>
      <c r="G42" s="6">
        <v>4499.97</v>
      </c>
    </row>
    <row r="43" spans="1:7" hidden="1" x14ac:dyDescent="0.3">
      <c r="A43" s="4" t="s">
        <v>101</v>
      </c>
      <c r="B43" s="3">
        <v>45065</v>
      </c>
      <c r="C43" s="2" t="s">
        <v>12</v>
      </c>
      <c r="D43" s="2" t="s">
        <v>13</v>
      </c>
      <c r="E43" s="2" t="s">
        <v>14</v>
      </c>
      <c r="F43" s="2">
        <v>2</v>
      </c>
      <c r="G43" s="5">
        <v>5999</v>
      </c>
    </row>
    <row r="44" spans="1:7" hidden="1" x14ac:dyDescent="0.3">
      <c r="A44" s="4" t="s">
        <v>103</v>
      </c>
      <c r="B44" s="3">
        <v>45068</v>
      </c>
      <c r="C44" s="2" t="s">
        <v>16</v>
      </c>
      <c r="D44" s="2" t="s">
        <v>17</v>
      </c>
      <c r="E44" s="2" t="s">
        <v>127</v>
      </c>
      <c r="F44" s="2">
        <v>6</v>
      </c>
      <c r="G44" s="5">
        <v>1500</v>
      </c>
    </row>
    <row r="45" spans="1:7" hidden="1" x14ac:dyDescent="0.3">
      <c r="A45" s="4" t="s">
        <v>105</v>
      </c>
      <c r="B45" s="3">
        <v>45071</v>
      </c>
      <c r="C45" s="2" t="s">
        <v>23</v>
      </c>
      <c r="D45" s="2" t="s">
        <v>9</v>
      </c>
      <c r="E45" s="2" t="s">
        <v>10</v>
      </c>
      <c r="F45" s="2">
        <v>2</v>
      </c>
      <c r="G45" s="6">
        <v>3999.98</v>
      </c>
    </row>
    <row r="46" spans="1:7" hidden="1" x14ac:dyDescent="0.3">
      <c r="A46" s="4" t="s">
        <v>107</v>
      </c>
      <c r="B46" s="3">
        <v>45440</v>
      </c>
      <c r="C46" s="2" t="s">
        <v>26</v>
      </c>
      <c r="D46" s="2" t="s">
        <v>13</v>
      </c>
      <c r="E46" s="2" t="s">
        <v>48</v>
      </c>
      <c r="F46" s="2">
        <v>4</v>
      </c>
      <c r="G46" s="5">
        <v>5196</v>
      </c>
    </row>
    <row r="47" spans="1:7" hidden="1" x14ac:dyDescent="0.3">
      <c r="A47" s="4" t="s">
        <v>109</v>
      </c>
      <c r="B47" s="3">
        <v>45443</v>
      </c>
      <c r="C47" s="2" t="s">
        <v>20</v>
      </c>
      <c r="D47" s="2" t="s">
        <v>17</v>
      </c>
      <c r="E47" s="2" t="s">
        <v>18</v>
      </c>
      <c r="F47" s="2">
        <v>3</v>
      </c>
      <c r="G47" s="5">
        <v>1650</v>
      </c>
    </row>
    <row r="48" spans="1:7" x14ac:dyDescent="0.3">
      <c r="A48" s="4" t="s">
        <v>111</v>
      </c>
      <c r="B48" s="1">
        <v>44991</v>
      </c>
      <c r="C48" s="2" t="s">
        <v>8</v>
      </c>
      <c r="D48" s="2" t="s">
        <v>9</v>
      </c>
      <c r="E48" s="2" t="s">
        <v>10</v>
      </c>
      <c r="F48" s="2">
        <v>1</v>
      </c>
      <c r="G48" s="5">
        <v>65000</v>
      </c>
    </row>
    <row r="49" spans="1:7" hidden="1" x14ac:dyDescent="0.3">
      <c r="A49" s="4" t="s">
        <v>113</v>
      </c>
      <c r="B49" s="1">
        <v>45083</v>
      </c>
      <c r="C49" s="2" t="s">
        <v>31</v>
      </c>
      <c r="D49" s="2" t="s">
        <v>13</v>
      </c>
      <c r="E49" s="2" t="s">
        <v>48</v>
      </c>
      <c r="F49" s="2">
        <v>7</v>
      </c>
      <c r="G49" s="6">
        <v>4500.93</v>
      </c>
    </row>
    <row r="50" spans="1:7" hidden="1" x14ac:dyDescent="0.3">
      <c r="A50" s="4" t="s">
        <v>115</v>
      </c>
      <c r="B50" s="1">
        <v>45175</v>
      </c>
      <c r="C50" s="2" t="s">
        <v>16</v>
      </c>
      <c r="D50" s="2" t="s">
        <v>17</v>
      </c>
      <c r="E50" s="2" t="s">
        <v>27</v>
      </c>
      <c r="F50" s="2">
        <v>14</v>
      </c>
      <c r="G50" s="5">
        <v>1330</v>
      </c>
    </row>
    <row r="51" spans="1:7" hidden="1" x14ac:dyDescent="0.3">
      <c r="A51" s="10" t="s">
        <v>117</v>
      </c>
      <c r="B51" s="11">
        <v>45632</v>
      </c>
      <c r="C51" s="12" t="s">
        <v>12</v>
      </c>
      <c r="D51" s="12" t="s">
        <v>9</v>
      </c>
      <c r="E51" s="2" t="s">
        <v>45</v>
      </c>
      <c r="F51" s="12">
        <v>2</v>
      </c>
      <c r="G51" s="13">
        <v>11998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04E0-FF02-47A5-973A-84B118CBBC6C}">
  <dimension ref="A4:T54"/>
  <sheetViews>
    <sheetView topLeftCell="E6" workbookViewId="0">
      <selection activeCell="M18" sqref="M18"/>
    </sheetView>
  </sheetViews>
  <sheetFormatPr defaultRowHeight="14.4" x14ac:dyDescent="0.3"/>
  <cols>
    <col min="1" max="1" width="14.44140625" customWidth="1"/>
    <col min="2" max="2" width="14.21875" customWidth="1"/>
    <col min="3" max="3" width="15" customWidth="1"/>
    <col min="4" max="4" width="15.33203125" customWidth="1"/>
    <col min="5" max="5" width="15.109375" customWidth="1"/>
    <col min="6" max="6" width="11.33203125" customWidth="1"/>
    <col min="7" max="7" width="12.77734375" customWidth="1"/>
    <col min="11" max="12" width="10.44140625" customWidth="1"/>
    <col min="13" max="13" width="11" customWidth="1"/>
    <col min="14" max="14" width="15.109375" customWidth="1"/>
    <col min="15" max="15" width="15.44140625" customWidth="1"/>
    <col min="16" max="16" width="14" customWidth="1"/>
    <col min="17" max="17" width="12.88671875" customWidth="1"/>
    <col min="19" max="19" width="14.109375" customWidth="1"/>
    <col min="20" max="20" width="15.109375" customWidth="1"/>
  </cols>
  <sheetData>
    <row r="4" spans="1:20" x14ac:dyDescent="0.3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9" t="s">
        <v>6</v>
      </c>
    </row>
    <row r="5" spans="1:20" x14ac:dyDescent="0.3">
      <c r="A5" s="4" t="s">
        <v>63</v>
      </c>
      <c r="B5" s="3">
        <v>45374</v>
      </c>
      <c r="C5" t="s">
        <v>16</v>
      </c>
      <c r="D5" s="2" t="s">
        <v>9</v>
      </c>
      <c r="E5" s="2" t="s">
        <v>10</v>
      </c>
      <c r="F5" s="2">
        <v>1</v>
      </c>
      <c r="G5" s="5">
        <v>195000</v>
      </c>
    </row>
    <row r="6" spans="1:20" x14ac:dyDescent="0.3">
      <c r="A6" s="4" t="s">
        <v>75</v>
      </c>
      <c r="B6" s="1">
        <v>45203</v>
      </c>
      <c r="C6" t="s">
        <v>16</v>
      </c>
      <c r="D6" s="2" t="s">
        <v>9</v>
      </c>
      <c r="E6" s="2" t="s">
        <v>10</v>
      </c>
      <c r="F6" s="2">
        <v>1</v>
      </c>
      <c r="G6" s="5">
        <v>85000</v>
      </c>
    </row>
    <row r="7" spans="1:20" x14ac:dyDescent="0.3">
      <c r="A7" s="4" t="s">
        <v>51</v>
      </c>
      <c r="B7" s="1">
        <v>45049</v>
      </c>
      <c r="C7" t="s">
        <v>20</v>
      </c>
      <c r="D7" s="2" t="s">
        <v>9</v>
      </c>
      <c r="E7" s="2" t="s">
        <v>21</v>
      </c>
      <c r="F7" s="2">
        <v>1</v>
      </c>
      <c r="G7" s="5">
        <v>84000</v>
      </c>
    </row>
    <row r="8" spans="1:20" x14ac:dyDescent="0.3">
      <c r="A8" s="4" t="s">
        <v>19</v>
      </c>
      <c r="B8" s="3">
        <v>45313</v>
      </c>
      <c r="C8" t="s">
        <v>20</v>
      </c>
      <c r="D8" s="2" t="s">
        <v>9</v>
      </c>
      <c r="E8" s="2" t="s">
        <v>21</v>
      </c>
      <c r="F8" s="2">
        <v>1</v>
      </c>
      <c r="G8" s="5">
        <v>75000</v>
      </c>
    </row>
    <row r="9" spans="1:20" x14ac:dyDescent="0.3">
      <c r="A9" s="4" t="s">
        <v>111</v>
      </c>
      <c r="B9" s="1">
        <v>44991</v>
      </c>
      <c r="C9" t="s">
        <v>8</v>
      </c>
      <c r="D9" s="2" t="s">
        <v>9</v>
      </c>
      <c r="E9" s="2" t="s">
        <v>10</v>
      </c>
      <c r="F9" s="2">
        <v>1</v>
      </c>
      <c r="G9" s="5">
        <v>65000</v>
      </c>
    </row>
    <row r="10" spans="1:20" x14ac:dyDescent="0.3">
      <c r="A10" s="4" t="s">
        <v>87</v>
      </c>
      <c r="B10" s="3">
        <v>45410</v>
      </c>
      <c r="C10" t="s">
        <v>31</v>
      </c>
      <c r="D10" s="2" t="s">
        <v>9</v>
      </c>
      <c r="E10" s="2" t="s">
        <v>10</v>
      </c>
      <c r="F10" s="2">
        <v>1</v>
      </c>
      <c r="G10" s="5">
        <v>42000</v>
      </c>
    </row>
    <row r="11" spans="1:20" x14ac:dyDescent="0.3">
      <c r="A11" s="4" t="s">
        <v>44</v>
      </c>
      <c r="B11" s="3">
        <v>45347</v>
      </c>
      <c r="C11" t="s">
        <v>8</v>
      </c>
      <c r="D11" s="2" t="s">
        <v>9</v>
      </c>
      <c r="E11" s="2" t="s">
        <v>45</v>
      </c>
      <c r="F11" s="2">
        <v>2</v>
      </c>
      <c r="G11" s="6">
        <v>39999.980000000003</v>
      </c>
    </row>
    <row r="12" spans="1:20" x14ac:dyDescent="0.3">
      <c r="A12" s="4" t="s">
        <v>28</v>
      </c>
      <c r="B12" s="1">
        <v>44959</v>
      </c>
      <c r="C12" t="s">
        <v>8</v>
      </c>
      <c r="D12" s="2" t="s">
        <v>9</v>
      </c>
      <c r="E12" s="2" t="s">
        <v>45</v>
      </c>
      <c r="F12" s="2">
        <v>1</v>
      </c>
      <c r="G12" s="5">
        <v>32000</v>
      </c>
    </row>
    <row r="13" spans="1:20" x14ac:dyDescent="0.3">
      <c r="A13" s="4" t="s">
        <v>81</v>
      </c>
      <c r="B13" s="3">
        <v>45035</v>
      </c>
      <c r="C13" t="s">
        <v>26</v>
      </c>
      <c r="D13" s="2" t="s">
        <v>9</v>
      </c>
      <c r="E13" s="2" t="s">
        <v>45</v>
      </c>
      <c r="F13" s="2">
        <v>1</v>
      </c>
      <c r="G13" s="5">
        <v>30000</v>
      </c>
    </row>
    <row r="14" spans="1:20" x14ac:dyDescent="0.3">
      <c r="A14" s="4" t="s">
        <v>69</v>
      </c>
      <c r="B14" s="1">
        <v>44930</v>
      </c>
      <c r="C14" t="s">
        <v>8</v>
      </c>
      <c r="D14" s="2" t="s">
        <v>9</v>
      </c>
      <c r="E14" s="2" t="s">
        <v>21</v>
      </c>
      <c r="F14" s="2">
        <v>2</v>
      </c>
      <c r="G14" s="5">
        <v>25000</v>
      </c>
    </row>
    <row r="15" spans="1:20" ht="15.6" x14ac:dyDescent="0.3">
      <c r="A15" s="4" t="s">
        <v>57</v>
      </c>
      <c r="B15" s="3">
        <v>44999</v>
      </c>
      <c r="C15" s="2" t="s">
        <v>8</v>
      </c>
      <c r="D15" s="2" t="s">
        <v>9</v>
      </c>
      <c r="E15" s="2" t="s">
        <v>45</v>
      </c>
      <c r="F15" s="2">
        <v>3</v>
      </c>
      <c r="G15" s="5">
        <v>23997</v>
      </c>
      <c r="K15" s="22"/>
      <c r="L15" s="22"/>
      <c r="M15" s="8" t="s">
        <v>128</v>
      </c>
      <c r="N15" s="7" t="s">
        <v>0</v>
      </c>
      <c r="O15" s="8" t="s">
        <v>1</v>
      </c>
      <c r="P15" s="8" t="s">
        <v>2</v>
      </c>
      <c r="Q15" s="8" t="s">
        <v>3</v>
      </c>
      <c r="R15" s="8" t="s">
        <v>4</v>
      </c>
      <c r="S15" s="8" t="s">
        <v>5</v>
      </c>
      <c r="T15" s="9" t="s">
        <v>6</v>
      </c>
    </row>
    <row r="16" spans="1:20" x14ac:dyDescent="0.3">
      <c r="A16" s="4" t="s">
        <v>93</v>
      </c>
      <c r="B16" s="1">
        <v>45112</v>
      </c>
      <c r="C16" s="2" t="s">
        <v>38</v>
      </c>
      <c r="D16" s="2" t="s">
        <v>9</v>
      </c>
      <c r="E16" s="2" t="s">
        <v>45</v>
      </c>
      <c r="F16" s="2">
        <v>2</v>
      </c>
      <c r="G16" s="5">
        <v>18000</v>
      </c>
      <c r="M16" s="24">
        <v>1</v>
      </c>
      <c r="N16" s="21" t="s">
        <v>63</v>
      </c>
      <c r="O16" s="18">
        <v>45374</v>
      </c>
      <c r="P16" s="15" t="s">
        <v>16</v>
      </c>
      <c r="Q16" s="19" t="s">
        <v>9</v>
      </c>
      <c r="R16" s="19" t="s">
        <v>10</v>
      </c>
      <c r="S16" s="19">
        <v>1</v>
      </c>
      <c r="T16" s="23">
        <v>195000</v>
      </c>
    </row>
    <row r="17" spans="1:20" x14ac:dyDescent="0.3">
      <c r="A17" s="4" t="s">
        <v>7</v>
      </c>
      <c r="B17" s="1">
        <v>45261</v>
      </c>
      <c r="C17" s="2" t="s">
        <v>8</v>
      </c>
      <c r="D17" s="2" t="s">
        <v>9</v>
      </c>
      <c r="E17" s="2" t="s">
        <v>10</v>
      </c>
      <c r="F17" s="2">
        <v>2</v>
      </c>
      <c r="G17" s="5">
        <v>15500</v>
      </c>
      <c r="M17" s="26">
        <v>2</v>
      </c>
      <c r="N17" s="4" t="s">
        <v>75</v>
      </c>
      <c r="O17" s="1">
        <v>45203</v>
      </c>
      <c r="P17" s="16" t="s">
        <v>16</v>
      </c>
      <c r="Q17" s="2" t="s">
        <v>9</v>
      </c>
      <c r="R17" s="2" t="s">
        <v>10</v>
      </c>
      <c r="S17" s="2">
        <v>1</v>
      </c>
      <c r="T17" s="5">
        <v>85000</v>
      </c>
    </row>
    <row r="18" spans="1:20" x14ac:dyDescent="0.3">
      <c r="A18" s="4" t="s">
        <v>40</v>
      </c>
      <c r="B18" s="3">
        <v>45340</v>
      </c>
      <c r="C18" s="2" t="s">
        <v>12</v>
      </c>
      <c r="D18" s="2" t="s">
        <v>9</v>
      </c>
      <c r="E18" s="2" t="s">
        <v>21</v>
      </c>
      <c r="F18" s="2">
        <v>3</v>
      </c>
      <c r="G18" s="5">
        <v>13498.5</v>
      </c>
      <c r="M18" s="19">
        <v>3</v>
      </c>
      <c r="N18" s="21" t="s">
        <v>51</v>
      </c>
      <c r="O18" s="20">
        <v>45049</v>
      </c>
      <c r="P18" s="15" t="s">
        <v>20</v>
      </c>
      <c r="Q18" s="19" t="s">
        <v>9</v>
      </c>
      <c r="R18" s="19" t="s">
        <v>21</v>
      </c>
      <c r="S18" s="19">
        <v>1</v>
      </c>
      <c r="T18" s="23">
        <v>84000</v>
      </c>
    </row>
    <row r="19" spans="1:20" x14ac:dyDescent="0.3">
      <c r="A19" s="4" t="s">
        <v>117</v>
      </c>
      <c r="B19" s="1">
        <v>45632</v>
      </c>
      <c r="C19" s="2" t="s">
        <v>12</v>
      </c>
      <c r="D19" s="2" t="s">
        <v>9</v>
      </c>
      <c r="E19" s="2" t="s">
        <v>45</v>
      </c>
      <c r="F19" s="2">
        <v>2</v>
      </c>
      <c r="G19" s="5">
        <v>11998</v>
      </c>
      <c r="M19" s="26">
        <v>4</v>
      </c>
      <c r="N19" s="4" t="s">
        <v>19</v>
      </c>
      <c r="O19" s="3">
        <v>45313</v>
      </c>
      <c r="P19" s="16" t="s">
        <v>20</v>
      </c>
      <c r="Q19" s="2" t="s">
        <v>9</v>
      </c>
      <c r="R19" s="2" t="s">
        <v>21</v>
      </c>
      <c r="S19" s="2">
        <v>1</v>
      </c>
      <c r="T19" s="5">
        <v>75000</v>
      </c>
    </row>
    <row r="20" spans="1:20" x14ac:dyDescent="0.3">
      <c r="A20" s="4" t="s">
        <v>83</v>
      </c>
      <c r="B20" s="3">
        <v>45038</v>
      </c>
      <c r="C20" s="2" t="s">
        <v>8</v>
      </c>
      <c r="D20" s="2" t="s">
        <v>13</v>
      </c>
      <c r="E20" s="2" t="s">
        <v>24</v>
      </c>
      <c r="F20" s="2">
        <v>1</v>
      </c>
      <c r="G20" s="6">
        <v>9999.99</v>
      </c>
      <c r="M20" s="25">
        <v>5</v>
      </c>
      <c r="N20" s="21" t="s">
        <v>111</v>
      </c>
      <c r="O20" s="20">
        <v>44991</v>
      </c>
      <c r="P20" s="15" t="s">
        <v>8</v>
      </c>
      <c r="Q20" s="19" t="s">
        <v>9</v>
      </c>
      <c r="R20" s="19" t="s">
        <v>10</v>
      </c>
      <c r="S20" s="19">
        <v>1</v>
      </c>
      <c r="T20" s="23">
        <v>65000</v>
      </c>
    </row>
    <row r="21" spans="1:20" x14ac:dyDescent="0.3">
      <c r="A21" s="4" t="s">
        <v>89</v>
      </c>
      <c r="B21" s="1">
        <v>44931</v>
      </c>
      <c r="C21" s="2" t="s">
        <v>16</v>
      </c>
      <c r="D21" s="2" t="s">
        <v>13</v>
      </c>
      <c r="E21" s="2" t="s">
        <v>14</v>
      </c>
      <c r="F21" s="2">
        <v>4</v>
      </c>
      <c r="G21" s="5">
        <v>9996</v>
      </c>
    </row>
    <row r="22" spans="1:20" x14ac:dyDescent="0.3">
      <c r="A22" s="4" t="s">
        <v>65</v>
      </c>
      <c r="B22" s="3">
        <v>45377</v>
      </c>
      <c r="C22" s="2" t="s">
        <v>20</v>
      </c>
      <c r="D22" s="2" t="s">
        <v>13</v>
      </c>
      <c r="E22" s="2" t="s">
        <v>14</v>
      </c>
      <c r="F22" s="2">
        <v>6</v>
      </c>
      <c r="G22" s="5">
        <v>7194</v>
      </c>
    </row>
    <row r="23" spans="1:20" x14ac:dyDescent="0.3">
      <c r="A23" s="4" t="s">
        <v>22</v>
      </c>
      <c r="B23" s="3">
        <v>45316</v>
      </c>
      <c r="C23" s="2" t="s">
        <v>23</v>
      </c>
      <c r="D23" s="2" t="s">
        <v>13</v>
      </c>
      <c r="E23" s="2" t="s">
        <v>24</v>
      </c>
      <c r="F23" s="2">
        <v>3</v>
      </c>
      <c r="G23" s="6">
        <v>6899.97</v>
      </c>
    </row>
    <row r="24" spans="1:20" x14ac:dyDescent="0.3">
      <c r="A24" s="4" t="s">
        <v>30</v>
      </c>
      <c r="B24" s="1">
        <v>45048</v>
      </c>
      <c r="C24" s="2" t="s">
        <v>31</v>
      </c>
      <c r="D24" s="2" t="s">
        <v>13</v>
      </c>
      <c r="E24" s="2" t="s">
        <v>48</v>
      </c>
      <c r="F24" s="2">
        <v>2</v>
      </c>
      <c r="G24" s="5">
        <v>6598</v>
      </c>
    </row>
    <row r="25" spans="1:20" x14ac:dyDescent="0.3">
      <c r="A25" s="4" t="s">
        <v>95</v>
      </c>
      <c r="B25" s="1">
        <v>45204</v>
      </c>
      <c r="C25" s="2" t="s">
        <v>20</v>
      </c>
      <c r="D25" s="2" t="s">
        <v>13</v>
      </c>
      <c r="E25" s="2" t="s">
        <v>24</v>
      </c>
      <c r="F25" s="2">
        <v>5</v>
      </c>
      <c r="G25" s="6">
        <v>5999.95</v>
      </c>
    </row>
    <row r="26" spans="1:20" x14ac:dyDescent="0.3">
      <c r="A26" s="4" t="s">
        <v>101</v>
      </c>
      <c r="B26" s="3">
        <v>45065</v>
      </c>
      <c r="C26" s="2" t="s">
        <v>12</v>
      </c>
      <c r="D26" s="2" t="s">
        <v>13</v>
      </c>
      <c r="E26" s="2" t="s">
        <v>14</v>
      </c>
      <c r="F26" s="2">
        <v>2</v>
      </c>
      <c r="G26" s="5">
        <v>5999</v>
      </c>
    </row>
    <row r="27" spans="1:20" x14ac:dyDescent="0.3">
      <c r="A27" s="4" t="s">
        <v>11</v>
      </c>
      <c r="B27" s="3">
        <v>44941</v>
      </c>
      <c r="C27" s="2" t="s">
        <v>12</v>
      </c>
      <c r="D27" s="2" t="s">
        <v>13</v>
      </c>
      <c r="E27" s="2" t="s">
        <v>14</v>
      </c>
      <c r="F27" s="2">
        <v>5</v>
      </c>
      <c r="G27" s="5">
        <v>5997.5</v>
      </c>
    </row>
    <row r="28" spans="1:20" x14ac:dyDescent="0.3">
      <c r="A28" s="4" t="s">
        <v>46</v>
      </c>
      <c r="B28" s="3">
        <v>44985</v>
      </c>
      <c r="C28" s="2" t="s">
        <v>47</v>
      </c>
      <c r="D28" s="2" t="s">
        <v>13</v>
      </c>
      <c r="E28" s="2" t="s">
        <v>24</v>
      </c>
      <c r="F28" s="2">
        <v>4</v>
      </c>
      <c r="G28" s="5">
        <v>5997</v>
      </c>
    </row>
    <row r="29" spans="1:20" x14ac:dyDescent="0.3">
      <c r="A29" s="4" t="s">
        <v>59</v>
      </c>
      <c r="B29" s="3">
        <v>45002</v>
      </c>
      <c r="C29" s="2" t="s">
        <v>31</v>
      </c>
      <c r="D29" s="2" t="s">
        <v>13</v>
      </c>
      <c r="E29" s="2" t="s">
        <v>48</v>
      </c>
      <c r="F29" s="2">
        <v>5</v>
      </c>
      <c r="G29" s="6">
        <v>5499.95</v>
      </c>
    </row>
    <row r="30" spans="1:20" x14ac:dyDescent="0.3">
      <c r="A30" s="4" t="s">
        <v>37</v>
      </c>
      <c r="B30" s="3">
        <v>44972</v>
      </c>
      <c r="C30" s="2" t="s">
        <v>38</v>
      </c>
      <c r="D30" s="2" t="s">
        <v>13</v>
      </c>
      <c r="E30" s="2" t="s">
        <v>14</v>
      </c>
      <c r="F30" s="2">
        <v>1</v>
      </c>
      <c r="G30" s="5">
        <v>5499</v>
      </c>
    </row>
    <row r="31" spans="1:20" x14ac:dyDescent="0.3">
      <c r="A31" s="4" t="s">
        <v>35</v>
      </c>
      <c r="B31" s="1">
        <v>45262</v>
      </c>
      <c r="C31" s="2" t="s">
        <v>20</v>
      </c>
      <c r="D31" s="2" t="s">
        <v>9</v>
      </c>
      <c r="E31" s="2" t="s">
        <v>10</v>
      </c>
      <c r="F31" s="2">
        <v>4</v>
      </c>
      <c r="G31" s="6">
        <v>5199.96</v>
      </c>
    </row>
    <row r="32" spans="1:20" x14ac:dyDescent="0.3">
      <c r="A32" s="4" t="s">
        <v>107</v>
      </c>
      <c r="B32" s="3">
        <v>45440</v>
      </c>
      <c r="C32" s="2" t="s">
        <v>26</v>
      </c>
      <c r="D32" s="2" t="s">
        <v>13</v>
      </c>
      <c r="E32" s="2" t="s">
        <v>48</v>
      </c>
      <c r="F32" s="2">
        <v>4</v>
      </c>
      <c r="G32" s="5">
        <v>5196</v>
      </c>
    </row>
    <row r="33" spans="1:7" x14ac:dyDescent="0.3">
      <c r="A33" s="4" t="s">
        <v>113</v>
      </c>
      <c r="B33" s="1">
        <v>45083</v>
      </c>
      <c r="C33" s="2" t="s">
        <v>31</v>
      </c>
      <c r="D33" s="2" t="s">
        <v>13</v>
      </c>
      <c r="E33" s="2" t="s">
        <v>48</v>
      </c>
      <c r="F33" s="2">
        <v>7</v>
      </c>
      <c r="G33" s="6">
        <v>4500.93</v>
      </c>
    </row>
    <row r="34" spans="1:7" x14ac:dyDescent="0.3">
      <c r="A34" s="4" t="s">
        <v>15</v>
      </c>
      <c r="B34" s="3">
        <v>44946</v>
      </c>
      <c r="C34" s="2" t="s">
        <v>16</v>
      </c>
      <c r="D34" s="2" t="s">
        <v>17</v>
      </c>
      <c r="E34" s="2" t="s">
        <v>18</v>
      </c>
      <c r="F34" s="2">
        <v>10</v>
      </c>
      <c r="G34" s="5">
        <v>4500</v>
      </c>
    </row>
    <row r="35" spans="1:7" x14ac:dyDescent="0.3">
      <c r="A35" s="4" t="s">
        <v>99</v>
      </c>
      <c r="B35" s="3">
        <v>45062</v>
      </c>
      <c r="C35" s="2" t="s">
        <v>47</v>
      </c>
      <c r="D35" s="2" t="s">
        <v>9</v>
      </c>
      <c r="E35" s="2" t="s">
        <v>21</v>
      </c>
      <c r="F35" s="2">
        <v>3</v>
      </c>
      <c r="G35" s="6">
        <v>4499.97</v>
      </c>
    </row>
    <row r="36" spans="1:7" x14ac:dyDescent="0.3">
      <c r="A36" s="4" t="s">
        <v>53</v>
      </c>
      <c r="B36" s="1">
        <v>45141</v>
      </c>
      <c r="C36" s="2" t="s">
        <v>26</v>
      </c>
      <c r="D36" s="2" t="s">
        <v>13</v>
      </c>
      <c r="E36" s="2" t="s">
        <v>14</v>
      </c>
      <c r="F36" s="2">
        <v>2</v>
      </c>
      <c r="G36" s="6">
        <v>4199.9799999999996</v>
      </c>
    </row>
    <row r="37" spans="1:7" x14ac:dyDescent="0.3">
      <c r="A37" s="4" t="s">
        <v>105</v>
      </c>
      <c r="B37" s="3">
        <v>45071</v>
      </c>
      <c r="C37" s="2" t="s">
        <v>23</v>
      </c>
      <c r="D37" s="2" t="s">
        <v>9</v>
      </c>
      <c r="E37" s="2" t="s">
        <v>10</v>
      </c>
      <c r="F37" s="2">
        <v>2</v>
      </c>
      <c r="G37" s="6">
        <v>3999.98</v>
      </c>
    </row>
    <row r="38" spans="1:7" x14ac:dyDescent="0.3">
      <c r="A38" s="4" t="s">
        <v>71</v>
      </c>
      <c r="B38" s="1">
        <v>45020</v>
      </c>
      <c r="C38" s="2" t="s">
        <v>12</v>
      </c>
      <c r="D38" s="2" t="s">
        <v>13</v>
      </c>
      <c r="E38" s="2" t="s">
        <v>24</v>
      </c>
      <c r="F38" s="2">
        <v>3</v>
      </c>
      <c r="G38" s="6">
        <v>2999.97</v>
      </c>
    </row>
    <row r="39" spans="1:7" x14ac:dyDescent="0.3">
      <c r="A39" s="4" t="s">
        <v>77</v>
      </c>
      <c r="B39" s="3">
        <v>45029</v>
      </c>
      <c r="C39" s="2" t="s">
        <v>23</v>
      </c>
      <c r="D39" s="2" t="s">
        <v>13</v>
      </c>
      <c r="E39" s="2" t="s">
        <v>48</v>
      </c>
      <c r="F39" s="2">
        <v>2</v>
      </c>
      <c r="G39" s="5">
        <v>2999</v>
      </c>
    </row>
    <row r="40" spans="1:7" x14ac:dyDescent="0.3">
      <c r="A40" s="4" t="s">
        <v>85</v>
      </c>
      <c r="B40" s="3">
        <v>45407</v>
      </c>
      <c r="C40" s="2" t="s">
        <v>12</v>
      </c>
      <c r="D40" s="2" t="s">
        <v>17</v>
      </c>
      <c r="E40" s="2" t="s">
        <v>18</v>
      </c>
      <c r="F40" s="2">
        <v>12</v>
      </c>
      <c r="G40" s="5">
        <v>2200</v>
      </c>
    </row>
    <row r="41" spans="1:7" x14ac:dyDescent="0.3">
      <c r="A41" s="4" t="s">
        <v>61</v>
      </c>
      <c r="B41" s="3">
        <v>45371</v>
      </c>
      <c r="C41" s="2" t="s">
        <v>23</v>
      </c>
      <c r="D41" s="2" t="s">
        <v>17</v>
      </c>
      <c r="E41" s="2" t="s">
        <v>27</v>
      </c>
      <c r="F41" s="2">
        <v>7</v>
      </c>
      <c r="G41" s="5">
        <v>1960</v>
      </c>
    </row>
    <row r="42" spans="1:7" x14ac:dyDescent="0.3">
      <c r="A42" s="4" t="s">
        <v>97</v>
      </c>
      <c r="B42" s="3">
        <v>45059</v>
      </c>
      <c r="C42" s="2" t="s">
        <v>8</v>
      </c>
      <c r="D42" s="2" t="s">
        <v>17</v>
      </c>
      <c r="E42" s="2" t="s">
        <v>27</v>
      </c>
      <c r="F42" s="2">
        <v>8</v>
      </c>
      <c r="G42" s="5">
        <v>1680</v>
      </c>
    </row>
    <row r="43" spans="1:7" x14ac:dyDescent="0.3">
      <c r="A43" s="4" t="s">
        <v>109</v>
      </c>
      <c r="B43" s="3">
        <v>45443</v>
      </c>
      <c r="C43" s="2" t="s">
        <v>20</v>
      </c>
      <c r="D43" s="2" t="s">
        <v>17</v>
      </c>
      <c r="E43" s="2" t="s">
        <v>18</v>
      </c>
      <c r="F43" s="2">
        <v>3</v>
      </c>
      <c r="G43" s="5">
        <v>1650</v>
      </c>
    </row>
    <row r="44" spans="1:7" x14ac:dyDescent="0.3">
      <c r="A44" s="4" t="s">
        <v>25</v>
      </c>
      <c r="B44" s="3">
        <v>44954</v>
      </c>
      <c r="C44" s="2" t="s">
        <v>26</v>
      </c>
      <c r="D44" s="2" t="s">
        <v>17</v>
      </c>
      <c r="E44" s="2" t="s">
        <v>27</v>
      </c>
      <c r="F44" s="2">
        <v>20</v>
      </c>
      <c r="G44" s="5">
        <v>1600</v>
      </c>
    </row>
    <row r="45" spans="1:7" x14ac:dyDescent="0.3">
      <c r="A45" s="4" t="s">
        <v>103</v>
      </c>
      <c r="B45" s="3">
        <v>45068</v>
      </c>
      <c r="C45" s="2" t="s">
        <v>16</v>
      </c>
      <c r="D45" s="2" t="s">
        <v>17</v>
      </c>
      <c r="E45" s="2" t="s">
        <v>127</v>
      </c>
      <c r="F45" s="2">
        <v>6</v>
      </c>
      <c r="G45" s="5">
        <v>1500</v>
      </c>
    </row>
    <row r="46" spans="1:7" x14ac:dyDescent="0.3">
      <c r="A46" s="4" t="s">
        <v>55</v>
      </c>
      <c r="B46" s="1">
        <v>45233</v>
      </c>
      <c r="C46" s="2" t="s">
        <v>12</v>
      </c>
      <c r="D46" s="2" t="s">
        <v>17</v>
      </c>
      <c r="E46" s="2" t="s">
        <v>24</v>
      </c>
      <c r="F46" s="2">
        <v>8</v>
      </c>
      <c r="G46" s="5">
        <v>1446</v>
      </c>
    </row>
    <row r="47" spans="1:7" x14ac:dyDescent="0.3">
      <c r="A47" s="4" t="s">
        <v>42</v>
      </c>
      <c r="B47" s="3">
        <v>45342</v>
      </c>
      <c r="C47" s="2" t="s">
        <v>23</v>
      </c>
      <c r="D47" s="2" t="s">
        <v>17</v>
      </c>
      <c r="E47" s="2" t="s">
        <v>18</v>
      </c>
      <c r="F47" s="2">
        <v>11</v>
      </c>
      <c r="G47" s="5">
        <v>1440</v>
      </c>
    </row>
    <row r="48" spans="1:7" x14ac:dyDescent="0.3">
      <c r="A48" s="4" t="s">
        <v>115</v>
      </c>
      <c r="B48" s="1">
        <v>45175</v>
      </c>
      <c r="C48" s="2" t="s">
        <v>16</v>
      </c>
      <c r="D48" s="2" t="s">
        <v>17</v>
      </c>
      <c r="E48" s="2" t="s">
        <v>27</v>
      </c>
      <c r="F48" s="2">
        <v>14</v>
      </c>
      <c r="G48" s="5">
        <v>1330</v>
      </c>
    </row>
    <row r="49" spans="1:7" x14ac:dyDescent="0.3">
      <c r="A49" s="4" t="s">
        <v>33</v>
      </c>
      <c r="B49" s="1">
        <v>45140</v>
      </c>
      <c r="C49" s="2" t="s">
        <v>16</v>
      </c>
      <c r="D49" s="2" t="s">
        <v>17</v>
      </c>
      <c r="E49" s="2" t="s">
        <v>50</v>
      </c>
      <c r="F49" s="2">
        <v>6</v>
      </c>
      <c r="G49" s="5">
        <v>1264.5</v>
      </c>
    </row>
    <row r="50" spans="1:7" x14ac:dyDescent="0.3">
      <c r="A50" s="4" t="s">
        <v>73</v>
      </c>
      <c r="B50" s="1">
        <v>45111</v>
      </c>
      <c r="C50" s="2" t="s">
        <v>47</v>
      </c>
      <c r="D50" s="2" t="s">
        <v>17</v>
      </c>
      <c r="E50" s="2" t="s">
        <v>127</v>
      </c>
      <c r="F50" s="2">
        <v>10</v>
      </c>
      <c r="G50" s="5">
        <v>1200</v>
      </c>
    </row>
    <row r="51" spans="1:7" x14ac:dyDescent="0.3">
      <c r="A51" s="4" t="s">
        <v>91</v>
      </c>
      <c r="B51" s="1">
        <v>45021</v>
      </c>
      <c r="C51" s="2" t="s">
        <v>23</v>
      </c>
      <c r="D51" s="2" t="s">
        <v>17</v>
      </c>
      <c r="E51" s="2" t="s">
        <v>127</v>
      </c>
      <c r="F51" s="2">
        <v>9</v>
      </c>
      <c r="G51" s="5">
        <v>1170</v>
      </c>
    </row>
    <row r="52" spans="1:7" x14ac:dyDescent="0.3">
      <c r="A52" s="4" t="s">
        <v>67</v>
      </c>
      <c r="B52" s="3">
        <v>45380</v>
      </c>
      <c r="C52" s="2" t="s">
        <v>38</v>
      </c>
      <c r="D52" s="2" t="s">
        <v>17</v>
      </c>
      <c r="E52" s="2" t="s">
        <v>50</v>
      </c>
      <c r="F52" s="2">
        <v>3</v>
      </c>
      <c r="G52" s="5">
        <v>1050</v>
      </c>
    </row>
    <row r="53" spans="1:7" x14ac:dyDescent="0.3">
      <c r="A53" s="4" t="s">
        <v>49</v>
      </c>
      <c r="B53" s="1">
        <v>44960</v>
      </c>
      <c r="C53" s="2" t="s">
        <v>16</v>
      </c>
      <c r="D53" s="2" t="s">
        <v>17</v>
      </c>
      <c r="E53" s="2" t="s">
        <v>18</v>
      </c>
      <c r="F53" s="2">
        <v>15</v>
      </c>
      <c r="G53" s="5">
        <v>682.5</v>
      </c>
    </row>
    <row r="54" spans="1:7" x14ac:dyDescent="0.3">
      <c r="A54" s="10" t="s">
        <v>79</v>
      </c>
      <c r="B54" s="17">
        <v>45032</v>
      </c>
      <c r="C54" s="12" t="s">
        <v>20</v>
      </c>
      <c r="D54" s="12" t="s">
        <v>17</v>
      </c>
      <c r="E54" s="2" t="s">
        <v>50</v>
      </c>
      <c r="F54" s="12">
        <v>25</v>
      </c>
      <c r="G54" s="13">
        <v>550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1256F4-86AD-45E2-B0A0-22FD3480C8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Task-2</vt:lpstr>
      <vt:lpstr>High-value order &gt;100000</vt:lpstr>
      <vt:lpstr>High-value order &gt;50000</vt:lpstr>
      <vt:lpstr>Top-5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2026-09-23T09:25:03Z</dcterms:modified>
</cp:coreProperties>
</file>