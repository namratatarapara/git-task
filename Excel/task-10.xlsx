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amrata\Desktop\Internship task\Excel\"/>
    </mc:Choice>
  </mc:AlternateContent>
  <xr:revisionPtr revIDLastSave="0" documentId="13_ncr:1_{939C29EE-4636-4FD7-BA3F-9818057AB7C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riginal data" sheetId="3" r:id="rId1"/>
    <sheet name="clean 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2" i="1" l="1"/>
  <c r="L11" i="1"/>
  <c r="L10" i="1"/>
  <c r="L9" i="1"/>
  <c r="L8" i="1"/>
  <c r="L7" i="1"/>
  <c r="L6" i="1"/>
  <c r="L5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</calcChain>
</file>

<file path=xl/sharedStrings.xml><?xml version="1.0" encoding="utf-8"?>
<sst xmlns="http://schemas.openxmlformats.org/spreadsheetml/2006/main" count="258" uniqueCount="96">
  <si>
    <t>Order ID</t>
  </si>
  <si>
    <t>Customer Name</t>
  </si>
  <si>
    <t>Category</t>
  </si>
  <si>
    <t>Order Date</t>
  </si>
  <si>
    <t>Quantity</t>
  </si>
  <si>
    <t>Unit Price</t>
  </si>
  <si>
    <t>ORD001</t>
  </si>
  <si>
    <t xml:space="preserve">  Amit  </t>
  </si>
  <si>
    <t>Technology</t>
  </si>
  <si>
    <t>01-09-2026</t>
  </si>
  <si>
    <t>ORD002</t>
  </si>
  <si>
    <t>Priya</t>
  </si>
  <si>
    <t>technology</t>
  </si>
  <si>
    <t>2026/09/02</t>
  </si>
  <si>
    <t>ORD003</t>
  </si>
  <si>
    <t xml:space="preserve">Rahul </t>
  </si>
  <si>
    <t xml:space="preserve">Technology </t>
  </si>
  <si>
    <t>03/09/2026</t>
  </si>
  <si>
    <t>ORD004</t>
  </si>
  <si>
    <t>Neha</t>
  </si>
  <si>
    <t>Furniture</t>
  </si>
  <si>
    <t>04-09-2026</t>
  </si>
  <si>
    <t>ORD005</t>
  </si>
  <si>
    <t>Karan</t>
  </si>
  <si>
    <t xml:space="preserve">furniture </t>
  </si>
  <si>
    <t>05/09/2026</t>
  </si>
  <si>
    <t>ORD006</t>
  </si>
  <si>
    <t>Office Supplies</t>
  </si>
  <si>
    <t>2026-09-06</t>
  </si>
  <si>
    <t>ORD007</t>
  </si>
  <si>
    <t>Amit</t>
  </si>
  <si>
    <t>OFFICE SUPPLIES</t>
  </si>
  <si>
    <t>07-09-2026</t>
  </si>
  <si>
    <t>ORD008</t>
  </si>
  <si>
    <t>Riya</t>
  </si>
  <si>
    <t>08/09/2026</t>
  </si>
  <si>
    <t>ORD009</t>
  </si>
  <si>
    <t>Arjun</t>
  </si>
  <si>
    <t xml:space="preserve"> technology</t>
  </si>
  <si>
    <t>09-09-2026</t>
  </si>
  <si>
    <t>ORD010</t>
  </si>
  <si>
    <t>10/09/2026</t>
  </si>
  <si>
    <t>ORD011</t>
  </si>
  <si>
    <t>Meera</t>
  </si>
  <si>
    <t>11-09-2026</t>
  </si>
  <si>
    <t>ORD012</t>
  </si>
  <si>
    <t>Vivek</t>
  </si>
  <si>
    <t>ORD013</t>
  </si>
  <si>
    <t>Rahul</t>
  </si>
  <si>
    <t>13/09/2026</t>
  </si>
  <si>
    <t>ORD014</t>
  </si>
  <si>
    <t>Anjali</t>
  </si>
  <si>
    <t>14-09-2026</t>
  </si>
  <si>
    <t>ORD015</t>
  </si>
  <si>
    <t>Nikhil</t>
  </si>
  <si>
    <t>15/09/2026</t>
  </si>
  <si>
    <t>ORD016</t>
  </si>
  <si>
    <t>16/09/2026</t>
  </si>
  <si>
    <t>ORD017</t>
  </si>
  <si>
    <t>17-09-2026</t>
  </si>
  <si>
    <t>ORD018</t>
  </si>
  <si>
    <t>Pooja</t>
  </si>
  <si>
    <t>18/09/2026</t>
  </si>
  <si>
    <t>ORD019</t>
  </si>
  <si>
    <t>Isha</t>
  </si>
  <si>
    <t>19/09/2026</t>
  </si>
  <si>
    <t>ORD020</t>
  </si>
  <si>
    <t>Manav</t>
  </si>
  <si>
    <t>20/09/2026</t>
  </si>
  <si>
    <t>ORD021</t>
  </si>
  <si>
    <t>21/09/2026</t>
  </si>
  <si>
    <t>ORD022</t>
  </si>
  <si>
    <t>22-09-2026</t>
  </si>
  <si>
    <t>ORD023</t>
  </si>
  <si>
    <t>23/09/2026</t>
  </si>
  <si>
    <t>ORD024</t>
  </si>
  <si>
    <t>24/09/2026</t>
  </si>
  <si>
    <t>ORD025</t>
  </si>
  <si>
    <t>25/09/2026</t>
  </si>
  <si>
    <t>ORD026</t>
  </si>
  <si>
    <t>26/09/2026</t>
  </si>
  <si>
    <t>ORD027</t>
  </si>
  <si>
    <t>27/09/2026</t>
  </si>
  <si>
    <t>ORD028</t>
  </si>
  <si>
    <t>28/09/2026</t>
  </si>
  <si>
    <t xml:space="preserve">2 </t>
  </si>
  <si>
    <t>ORD029</t>
  </si>
  <si>
    <t xml:space="preserve">  Amit</t>
  </si>
  <si>
    <t>29/09/2026</t>
  </si>
  <si>
    <t>ORD030</t>
  </si>
  <si>
    <t>30/09/2026</t>
  </si>
  <si>
    <t>Unknown</t>
  </si>
  <si>
    <t>Clean Customer Name</t>
  </si>
  <si>
    <t>Clean Category</t>
  </si>
  <si>
    <t>Clean Order Date</t>
  </si>
  <si>
    <t>Clean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</si>
</sst>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3" borderId="1" xfId="0" applyFont="1" applyFill="1" applyBorder="1"/>
    <xf numFmtId="0" fontId="0" fillId="3" borderId="2" xfId="0" applyFont="1" applyFill="1" applyBorder="1"/>
    <xf numFmtId="0" fontId="0" fillId="0" borderId="0" xfId="0" applyNumberFormat="1"/>
    <xf numFmtId="0" fontId="0" fillId="0" borderId="2" xfId="0" applyFont="1" applyBorder="1"/>
    <xf numFmtId="14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Font="1" applyBorder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08C06B-5277-4BDF-8A6F-114EE7D5A116}" name="Table1" displayName="Table1" ref="A3:J33" totalsRowShown="0" headerRowDxfId="5">
  <tableColumns count="10">
    <tableColumn id="1" xr3:uid="{DEA8B0B8-BE43-433A-9EC6-BB3D7EB9E4BC}" name="Order ID"/>
    <tableColumn id="2" xr3:uid="{A958182B-D639-4F77-B7BD-FFD5DAFF3C0E}" name="Customer Name"/>
    <tableColumn id="3" xr3:uid="{7FCC245A-4C66-401D-971D-E2335A5E0776}" name="Category"/>
    <tableColumn id="4" xr3:uid="{6E5036C9-551A-4D62-9F46-F1BFC9EFCD00}" name="Order Date"/>
    <tableColumn id="5" xr3:uid="{84190AFA-F4EC-45AF-9E83-3215FA849F41}" name="Quantity"/>
    <tableColumn id="6" xr3:uid="{CD17EF61-1C31-4B85-8FD7-A28EE867ACC7}" name="Unit Price"/>
    <tableColumn id="7" xr3:uid="{C3FBE36C-BCAB-46D8-BD32-B080A9811F82}" name="Clean Customer Name" dataDxfId="4">
      <calculatedColumnFormula>TRIM(B4)</calculatedColumnFormula>
    </tableColumn>
    <tableColumn id="8" xr3:uid="{1ADC6C2F-46F5-4094-A3E6-DB28B3210D41}" name="Clean Category" dataDxfId="3">
      <calculatedColumnFormula>PROPER(TRIM(C4))</calculatedColumnFormula>
    </tableColumn>
    <tableColumn id="9" xr3:uid="{72B9AF2C-8219-447A-9859-2D998261435B}" name="Clean Order Date" dataDxfId="2">
      <calculatedColumnFormula>IF(D4="Unknown","Unknown",IF(ISNUMBER(D4),D4,DATEVALUE(SUBSTITUTE(D4," / "," - "))))</calculatedColumnFormula>
    </tableColumn>
    <tableColumn id="10" xr3:uid="{EE91F167-A544-4461-B28E-74926FDB8AA2}" name="Clean Quantity" dataDxfId="1">
      <calculatedColumnFormula>VALUE(TRIM(E4&amp;""))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E4A0F-562B-4733-9E64-A3910C51A579}">
  <dimension ref="A3:F33"/>
  <sheetViews>
    <sheetView zoomScale="70" zoomScaleNormal="70" workbookViewId="0">
      <selection activeCell="H9" sqref="H9"/>
    </sheetView>
  </sheetViews>
  <sheetFormatPr defaultRowHeight="14.4" x14ac:dyDescent="0.3"/>
  <cols>
    <col min="1" max="1" width="16.44140625" customWidth="1"/>
    <col min="2" max="2" width="22.21875" customWidth="1"/>
    <col min="3" max="3" width="26.5546875" customWidth="1"/>
    <col min="4" max="4" width="21.33203125" customWidth="1"/>
    <col min="5" max="5" width="15.109375" customWidth="1"/>
    <col min="6" max="6" width="16.6640625" customWidth="1"/>
  </cols>
  <sheetData>
    <row r="3" spans="1:6" x14ac:dyDescent="0.3">
      <c r="A3" s="11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</row>
    <row r="4" spans="1:6" x14ac:dyDescent="0.3">
      <c r="A4" s="3" t="s">
        <v>6</v>
      </c>
      <c r="B4" s="4" t="s">
        <v>7</v>
      </c>
      <c r="C4" s="4" t="s">
        <v>8</v>
      </c>
      <c r="D4" s="4" t="s">
        <v>9</v>
      </c>
      <c r="E4" s="4">
        <v>2</v>
      </c>
      <c r="F4" s="4">
        <v>850</v>
      </c>
    </row>
    <row r="5" spans="1:6" x14ac:dyDescent="0.3">
      <c r="A5" s="12" t="s">
        <v>10</v>
      </c>
      <c r="B5" s="6" t="s">
        <v>11</v>
      </c>
      <c r="C5" s="6" t="s">
        <v>12</v>
      </c>
      <c r="D5" s="6" t="s">
        <v>13</v>
      </c>
      <c r="E5" s="6">
        <v>1</v>
      </c>
      <c r="F5" s="6">
        <v>1250</v>
      </c>
    </row>
    <row r="6" spans="1:6" x14ac:dyDescent="0.3">
      <c r="A6" s="3" t="s">
        <v>14</v>
      </c>
      <c r="B6" s="4" t="s">
        <v>15</v>
      </c>
      <c r="C6" s="4" t="s">
        <v>16</v>
      </c>
      <c r="D6" s="4" t="s">
        <v>17</v>
      </c>
      <c r="E6" s="4">
        <v>3</v>
      </c>
      <c r="F6" s="4">
        <v>1450</v>
      </c>
    </row>
    <row r="7" spans="1:6" x14ac:dyDescent="0.3">
      <c r="A7" s="12" t="s">
        <v>18</v>
      </c>
      <c r="B7" s="6" t="s">
        <v>19</v>
      </c>
      <c r="C7" s="6" t="s">
        <v>20</v>
      </c>
      <c r="D7" s="6" t="s">
        <v>21</v>
      </c>
      <c r="E7" s="6">
        <v>1</v>
      </c>
      <c r="F7" s="6">
        <v>6500</v>
      </c>
    </row>
    <row r="8" spans="1:6" x14ac:dyDescent="0.3">
      <c r="A8" s="3" t="s">
        <v>22</v>
      </c>
      <c r="B8" s="4" t="s">
        <v>23</v>
      </c>
      <c r="C8" s="4" t="s">
        <v>24</v>
      </c>
      <c r="D8" s="4" t="s">
        <v>25</v>
      </c>
      <c r="E8" s="4">
        <v>2</v>
      </c>
      <c r="F8" s="4">
        <v>2100</v>
      </c>
    </row>
    <row r="9" spans="1:6" x14ac:dyDescent="0.3">
      <c r="A9" s="12" t="s">
        <v>26</v>
      </c>
      <c r="B9" s="6" t="s">
        <v>91</v>
      </c>
      <c r="C9" s="6" t="s">
        <v>27</v>
      </c>
      <c r="D9" s="6" t="s">
        <v>28</v>
      </c>
      <c r="E9" s="6">
        <v>1</v>
      </c>
      <c r="F9" s="6">
        <v>450</v>
      </c>
    </row>
    <row r="10" spans="1:6" x14ac:dyDescent="0.3">
      <c r="A10" s="3" t="s">
        <v>29</v>
      </c>
      <c r="B10" s="4" t="s">
        <v>30</v>
      </c>
      <c r="C10" s="4" t="s">
        <v>31</v>
      </c>
      <c r="D10" s="4" t="s">
        <v>32</v>
      </c>
      <c r="E10" s="4">
        <v>3</v>
      </c>
      <c r="F10" s="4">
        <v>1250</v>
      </c>
    </row>
    <row r="11" spans="1:6" x14ac:dyDescent="0.3">
      <c r="A11" s="12" t="s">
        <v>33</v>
      </c>
      <c r="B11" s="6" t="s">
        <v>34</v>
      </c>
      <c r="C11" s="6" t="s">
        <v>8</v>
      </c>
      <c r="D11" s="6" t="s">
        <v>35</v>
      </c>
      <c r="E11" s="6">
        <v>2</v>
      </c>
      <c r="F11" s="6">
        <v>6200</v>
      </c>
    </row>
    <row r="12" spans="1:6" x14ac:dyDescent="0.3">
      <c r="A12" s="3" t="s">
        <v>36</v>
      </c>
      <c r="B12" s="4" t="s">
        <v>37</v>
      </c>
      <c r="C12" s="4" t="s">
        <v>38</v>
      </c>
      <c r="D12" s="4" t="s">
        <v>39</v>
      </c>
      <c r="E12" s="4">
        <v>1</v>
      </c>
      <c r="F12" s="4">
        <v>6200</v>
      </c>
    </row>
    <row r="13" spans="1:6" x14ac:dyDescent="0.3">
      <c r="A13" s="12" t="s">
        <v>40</v>
      </c>
      <c r="B13" s="6" t="s">
        <v>11</v>
      </c>
      <c r="C13" s="6" t="s">
        <v>20</v>
      </c>
      <c r="D13" s="6" t="s">
        <v>41</v>
      </c>
      <c r="E13" s="6">
        <v>3</v>
      </c>
      <c r="F13" s="6">
        <v>6500</v>
      </c>
    </row>
    <row r="14" spans="1:6" x14ac:dyDescent="0.3">
      <c r="A14" s="3" t="s">
        <v>42</v>
      </c>
      <c r="B14" s="4" t="s">
        <v>43</v>
      </c>
      <c r="C14" s="4" t="s">
        <v>8</v>
      </c>
      <c r="D14" s="4" t="s">
        <v>44</v>
      </c>
      <c r="E14" s="4">
        <v>2</v>
      </c>
      <c r="F14" s="4">
        <v>1450</v>
      </c>
    </row>
    <row r="15" spans="1:6" x14ac:dyDescent="0.3">
      <c r="A15" s="12" t="s">
        <v>45</v>
      </c>
      <c r="B15" s="6" t="s">
        <v>46</v>
      </c>
      <c r="C15" s="6" t="s">
        <v>27</v>
      </c>
      <c r="D15" s="6" t="s">
        <v>91</v>
      </c>
      <c r="E15" s="6">
        <v>1</v>
      </c>
      <c r="F15" s="6">
        <v>450</v>
      </c>
    </row>
    <row r="16" spans="1:6" x14ac:dyDescent="0.3">
      <c r="A16" s="3" t="s">
        <v>47</v>
      </c>
      <c r="B16" s="4" t="s">
        <v>48</v>
      </c>
      <c r="C16" s="4" t="s">
        <v>20</v>
      </c>
      <c r="D16" s="4" t="s">
        <v>49</v>
      </c>
      <c r="E16" s="4">
        <v>2</v>
      </c>
      <c r="F16" s="4">
        <v>2100</v>
      </c>
    </row>
    <row r="17" spans="1:6" x14ac:dyDescent="0.3">
      <c r="A17" s="12" t="s">
        <v>50</v>
      </c>
      <c r="B17" s="6" t="s">
        <v>51</v>
      </c>
      <c r="C17" s="6" t="s">
        <v>20</v>
      </c>
      <c r="D17" s="6" t="s">
        <v>52</v>
      </c>
      <c r="E17" s="6">
        <v>1</v>
      </c>
      <c r="F17" s="6">
        <v>1800</v>
      </c>
    </row>
    <row r="18" spans="1:6" x14ac:dyDescent="0.3">
      <c r="A18" s="3" t="s">
        <v>53</v>
      </c>
      <c r="B18" s="4" t="s">
        <v>54</v>
      </c>
      <c r="C18" s="4" t="s">
        <v>27</v>
      </c>
      <c r="D18" s="4" t="s">
        <v>55</v>
      </c>
      <c r="E18" s="4">
        <v>4</v>
      </c>
      <c r="F18" s="4">
        <v>2400</v>
      </c>
    </row>
    <row r="19" spans="1:6" x14ac:dyDescent="0.3">
      <c r="A19" s="12" t="s">
        <v>56</v>
      </c>
      <c r="B19" s="6" t="s">
        <v>19</v>
      </c>
      <c r="C19" s="6" t="s">
        <v>8</v>
      </c>
      <c r="D19" s="6" t="s">
        <v>57</v>
      </c>
      <c r="E19" s="6">
        <v>2</v>
      </c>
      <c r="F19" s="6">
        <v>6200</v>
      </c>
    </row>
    <row r="20" spans="1:6" x14ac:dyDescent="0.3">
      <c r="A20" s="3" t="s">
        <v>58</v>
      </c>
      <c r="B20" s="4" t="s">
        <v>23</v>
      </c>
      <c r="C20" s="4" t="s">
        <v>8</v>
      </c>
      <c r="D20" s="4" t="s">
        <v>59</v>
      </c>
      <c r="E20" s="4">
        <v>3</v>
      </c>
      <c r="F20" s="4">
        <v>850</v>
      </c>
    </row>
    <row r="21" spans="1:6" x14ac:dyDescent="0.3">
      <c r="A21" s="12" t="s">
        <v>60</v>
      </c>
      <c r="B21" s="6" t="s">
        <v>61</v>
      </c>
      <c r="C21" s="6" t="s">
        <v>27</v>
      </c>
      <c r="D21" s="6" t="s">
        <v>62</v>
      </c>
      <c r="E21" s="6">
        <v>1</v>
      </c>
      <c r="F21" s="6">
        <v>1250</v>
      </c>
    </row>
    <row r="22" spans="1:6" x14ac:dyDescent="0.3">
      <c r="A22" s="3" t="s">
        <v>63</v>
      </c>
      <c r="B22" s="4" t="s">
        <v>64</v>
      </c>
      <c r="C22" s="4" t="s">
        <v>8</v>
      </c>
      <c r="D22" s="4" t="s">
        <v>65</v>
      </c>
      <c r="E22" s="4">
        <v>2</v>
      </c>
      <c r="F22" s="4">
        <v>1250</v>
      </c>
    </row>
    <row r="23" spans="1:6" x14ac:dyDescent="0.3">
      <c r="A23" s="12" t="s">
        <v>66</v>
      </c>
      <c r="B23" s="6" t="s">
        <v>67</v>
      </c>
      <c r="C23" s="6" t="s">
        <v>20</v>
      </c>
      <c r="D23" s="6" t="s">
        <v>68</v>
      </c>
      <c r="E23" s="6">
        <v>1</v>
      </c>
      <c r="F23" s="6">
        <v>6500</v>
      </c>
    </row>
    <row r="24" spans="1:6" x14ac:dyDescent="0.3">
      <c r="A24" s="3" t="s">
        <v>69</v>
      </c>
      <c r="B24" s="4" t="s">
        <v>34</v>
      </c>
      <c r="C24" s="4" t="s">
        <v>27</v>
      </c>
      <c r="D24" s="4" t="s">
        <v>70</v>
      </c>
      <c r="E24" s="4">
        <v>2</v>
      </c>
      <c r="F24" s="4">
        <v>450</v>
      </c>
    </row>
    <row r="25" spans="1:6" x14ac:dyDescent="0.3">
      <c r="A25" s="12" t="s">
        <v>71</v>
      </c>
      <c r="B25" s="6" t="s">
        <v>37</v>
      </c>
      <c r="C25" s="6" t="s">
        <v>8</v>
      </c>
      <c r="D25" s="6" t="s">
        <v>72</v>
      </c>
      <c r="E25" s="6">
        <v>1</v>
      </c>
      <c r="F25" s="6">
        <v>1450</v>
      </c>
    </row>
    <row r="26" spans="1:6" x14ac:dyDescent="0.3">
      <c r="A26" s="3" t="s">
        <v>73</v>
      </c>
      <c r="B26" s="4" t="s">
        <v>43</v>
      </c>
      <c r="C26" s="4" t="s">
        <v>91</v>
      </c>
      <c r="D26" s="4" t="s">
        <v>74</v>
      </c>
      <c r="E26" s="4">
        <v>3</v>
      </c>
      <c r="F26" s="4">
        <v>2100</v>
      </c>
    </row>
    <row r="27" spans="1:6" x14ac:dyDescent="0.3">
      <c r="A27" s="12" t="s">
        <v>75</v>
      </c>
      <c r="B27" s="6" t="s">
        <v>46</v>
      </c>
      <c r="C27" s="6" t="s">
        <v>27</v>
      </c>
      <c r="D27" s="6" t="s">
        <v>76</v>
      </c>
      <c r="E27" s="6">
        <v>2</v>
      </c>
      <c r="F27" s="6">
        <v>780</v>
      </c>
    </row>
    <row r="28" spans="1:6" x14ac:dyDescent="0.3">
      <c r="A28" s="3" t="s">
        <v>77</v>
      </c>
      <c r="B28" s="4" t="s">
        <v>51</v>
      </c>
      <c r="C28" s="4" t="s">
        <v>8</v>
      </c>
      <c r="D28" s="4" t="s">
        <v>78</v>
      </c>
      <c r="E28" s="4">
        <v>1</v>
      </c>
      <c r="F28" s="4">
        <v>3600</v>
      </c>
    </row>
    <row r="29" spans="1:6" x14ac:dyDescent="0.3">
      <c r="A29" s="12" t="s">
        <v>79</v>
      </c>
      <c r="B29" s="6" t="s">
        <v>54</v>
      </c>
      <c r="C29" s="6" t="s">
        <v>20</v>
      </c>
      <c r="D29" s="6" t="s">
        <v>80</v>
      </c>
      <c r="E29" s="6">
        <v>2</v>
      </c>
      <c r="F29" s="6">
        <v>7200</v>
      </c>
    </row>
    <row r="30" spans="1:6" x14ac:dyDescent="0.3">
      <c r="A30" s="3" t="s">
        <v>81</v>
      </c>
      <c r="B30" s="4" t="s">
        <v>64</v>
      </c>
      <c r="C30" s="4" t="s">
        <v>8</v>
      </c>
      <c r="D30" s="4" t="s">
        <v>82</v>
      </c>
      <c r="E30" s="4">
        <v>3</v>
      </c>
      <c r="F30" s="4">
        <v>1100</v>
      </c>
    </row>
    <row r="31" spans="1:6" x14ac:dyDescent="0.3">
      <c r="A31" s="12" t="s">
        <v>83</v>
      </c>
      <c r="B31" s="6" t="s">
        <v>67</v>
      </c>
      <c r="C31" s="6" t="s">
        <v>27</v>
      </c>
      <c r="D31" s="6" t="s">
        <v>84</v>
      </c>
      <c r="E31" s="6" t="s">
        <v>85</v>
      </c>
      <c r="F31" s="6">
        <v>2400</v>
      </c>
    </row>
    <row r="32" spans="1:6" x14ac:dyDescent="0.3">
      <c r="A32" s="3" t="s">
        <v>86</v>
      </c>
      <c r="B32" s="4" t="s">
        <v>87</v>
      </c>
      <c r="C32" s="4" t="s">
        <v>16</v>
      </c>
      <c r="D32" s="4" t="s">
        <v>88</v>
      </c>
      <c r="E32" s="4">
        <v>2</v>
      </c>
      <c r="F32" s="4">
        <v>850</v>
      </c>
    </row>
    <row r="33" spans="1:6" x14ac:dyDescent="0.3">
      <c r="A33" s="12" t="s">
        <v>89</v>
      </c>
      <c r="B33" s="6" t="s">
        <v>11</v>
      </c>
      <c r="C33" s="6" t="s">
        <v>20</v>
      </c>
      <c r="D33" s="6" t="s">
        <v>90</v>
      </c>
      <c r="E33" s="6">
        <v>1</v>
      </c>
      <c r="F33" s="6">
        <v>6500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33"/>
  <sheetViews>
    <sheetView tabSelected="1" topLeftCell="A3" zoomScale="77" workbookViewId="0">
      <selection activeCell="L7" sqref="L7"/>
    </sheetView>
  </sheetViews>
  <sheetFormatPr defaultRowHeight="14.4" x14ac:dyDescent="0.3"/>
  <cols>
    <col min="1" max="1" width="16.109375" customWidth="1"/>
    <col min="2" max="2" width="21.21875" customWidth="1"/>
    <col min="3" max="3" width="19.109375" customWidth="1"/>
    <col min="4" max="4" width="14.5546875" customWidth="1"/>
    <col min="5" max="5" width="12.5546875" customWidth="1"/>
    <col min="6" max="6" width="14.33203125" customWidth="1"/>
    <col min="7" max="7" width="28.88671875" customWidth="1"/>
    <col min="8" max="8" width="24.33203125" customWidth="1"/>
    <col min="9" max="9" width="25.44140625" customWidth="1"/>
    <col min="10" max="10" width="21.33203125" customWidth="1"/>
  </cols>
  <sheetData>
    <row r="3" spans="1:12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92</v>
      </c>
      <c r="H3" s="2" t="s">
        <v>93</v>
      </c>
      <c r="I3" s="8" t="s">
        <v>94</v>
      </c>
      <c r="J3" s="9" t="s">
        <v>95</v>
      </c>
    </row>
    <row r="4" spans="1:12" x14ac:dyDescent="0.3">
      <c r="A4" s="1" t="s">
        <v>6</v>
      </c>
      <c r="B4" s="1" t="s">
        <v>7</v>
      </c>
      <c r="C4" s="1" t="s">
        <v>8</v>
      </c>
      <c r="D4" s="1" t="s">
        <v>9</v>
      </c>
      <c r="E4" s="1">
        <v>2</v>
      </c>
      <c r="F4" s="1">
        <v>850</v>
      </c>
      <c r="G4" s="1" t="str">
        <f t="shared" ref="G4:G33" si="0">TRIM(B4)</f>
        <v>Amit</v>
      </c>
      <c r="H4" s="5" t="str">
        <f t="shared" ref="H4:H33" si="1">PROPER(TRIM(C4))</f>
        <v>Technology</v>
      </c>
      <c r="I4" s="7">
        <f t="shared" ref="I4:I33" si="2">IF(D4="Unknown","Unknown",IF(ISNUMBER(D4),D4,DATEVALUE(SUBSTITUTE(D4," / "," - "))))</f>
        <v>46266</v>
      </c>
      <c r="J4" s="5">
        <f t="shared" ref="J4:J33" si="3">VALUE(TRIM(E4&amp;""))</f>
        <v>2</v>
      </c>
    </row>
    <row r="5" spans="1:12" x14ac:dyDescent="0.3">
      <c r="A5" s="1" t="s">
        <v>10</v>
      </c>
      <c r="B5" s="1" t="s">
        <v>11</v>
      </c>
      <c r="C5" s="1" t="s">
        <v>12</v>
      </c>
      <c r="D5" s="1" t="s">
        <v>13</v>
      </c>
      <c r="E5" s="1">
        <v>1</v>
      </c>
      <c r="F5" s="1">
        <v>1250</v>
      </c>
      <c r="G5" s="1" t="str">
        <f t="shared" si="0"/>
        <v>Priya</v>
      </c>
      <c r="H5" s="5" t="str">
        <f t="shared" si="1"/>
        <v>Technology</v>
      </c>
      <c r="I5" s="7">
        <f t="shared" si="2"/>
        <v>46267</v>
      </c>
      <c r="J5" s="5">
        <f t="shared" si="3"/>
        <v>1</v>
      </c>
      <c r="L5">
        <f>COUNTA(A4:A33)-COUNTA(_xlfn.UNIQUE(A4:A33))</f>
        <v>0</v>
      </c>
    </row>
    <row r="6" spans="1:12" x14ac:dyDescent="0.3">
      <c r="A6" s="1" t="s">
        <v>14</v>
      </c>
      <c r="B6" s="1" t="s">
        <v>15</v>
      </c>
      <c r="C6" s="1" t="s">
        <v>16</v>
      </c>
      <c r="D6" s="1" t="s">
        <v>17</v>
      </c>
      <c r="E6" s="1">
        <v>3</v>
      </c>
      <c r="F6" s="1">
        <v>1450</v>
      </c>
      <c r="G6" s="1" t="str">
        <f t="shared" si="0"/>
        <v>Rahul</v>
      </c>
      <c r="H6" s="5" t="str">
        <f t="shared" si="1"/>
        <v>Technology</v>
      </c>
      <c r="I6" s="7">
        <f t="shared" si="2"/>
        <v>46268</v>
      </c>
      <c r="J6" s="5">
        <f t="shared" si="3"/>
        <v>3</v>
      </c>
      <c r="L6">
        <f>COUNTBLANK(A4:A33)</f>
        <v>0</v>
      </c>
    </row>
    <row r="7" spans="1:12" x14ac:dyDescent="0.3">
      <c r="A7" s="1" t="s">
        <v>18</v>
      </c>
      <c r="B7" s="1" t="s">
        <v>19</v>
      </c>
      <c r="C7" s="1" t="s">
        <v>20</v>
      </c>
      <c r="D7" s="1" t="s">
        <v>21</v>
      </c>
      <c r="E7" s="1">
        <v>1</v>
      </c>
      <c r="F7" s="1">
        <v>6500</v>
      </c>
      <c r="G7" s="1" t="str">
        <f t="shared" si="0"/>
        <v>Neha</v>
      </c>
      <c r="H7" s="5" t="str">
        <f t="shared" si="1"/>
        <v>Furniture</v>
      </c>
      <c r="I7" s="7">
        <f t="shared" si="2"/>
        <v>46269</v>
      </c>
      <c r="J7" s="5">
        <f t="shared" si="3"/>
        <v>1</v>
      </c>
      <c r="L7">
        <f>COUNTBLANK(G4:G33)</f>
        <v>0</v>
      </c>
    </row>
    <row r="8" spans="1:12" x14ac:dyDescent="0.3">
      <c r="A8" s="1" t="s">
        <v>22</v>
      </c>
      <c r="B8" s="1" t="s">
        <v>23</v>
      </c>
      <c r="C8" s="1" t="s">
        <v>24</v>
      </c>
      <c r="D8" s="1" t="s">
        <v>25</v>
      </c>
      <c r="E8" s="1">
        <v>2</v>
      </c>
      <c r="F8" s="1">
        <v>2100</v>
      </c>
      <c r="G8" s="1" t="str">
        <f t="shared" si="0"/>
        <v>Karan</v>
      </c>
      <c r="H8" s="5" t="str">
        <f t="shared" si="1"/>
        <v>Furniture</v>
      </c>
      <c r="I8" s="7">
        <f t="shared" si="2"/>
        <v>46270</v>
      </c>
      <c r="J8" s="5">
        <f t="shared" si="3"/>
        <v>2</v>
      </c>
      <c r="L8">
        <f>COUNTBLANK(H4:H33)</f>
        <v>0</v>
      </c>
    </row>
    <row r="9" spans="1:12" x14ac:dyDescent="0.3">
      <c r="A9" s="1" t="s">
        <v>26</v>
      </c>
      <c r="B9" s="1" t="s">
        <v>91</v>
      </c>
      <c r="C9" s="1" t="s">
        <v>27</v>
      </c>
      <c r="D9" s="1" t="s">
        <v>28</v>
      </c>
      <c r="E9" s="1">
        <v>1</v>
      </c>
      <c r="F9" s="1">
        <v>450</v>
      </c>
      <c r="G9" s="1" t="str">
        <f t="shared" si="0"/>
        <v>Unknown</v>
      </c>
      <c r="H9" s="5" t="str">
        <f t="shared" si="1"/>
        <v>Office Supplies</v>
      </c>
      <c r="I9" s="7">
        <f t="shared" si="2"/>
        <v>46271</v>
      </c>
      <c r="J9" s="5">
        <f t="shared" si="3"/>
        <v>1</v>
      </c>
      <c r="L9">
        <f>COUNTBLANK(I4:I33)</f>
        <v>0</v>
      </c>
    </row>
    <row r="10" spans="1:12" x14ac:dyDescent="0.3">
      <c r="A10" s="1" t="s">
        <v>29</v>
      </c>
      <c r="B10" s="1" t="s">
        <v>30</v>
      </c>
      <c r="C10" s="1" t="s">
        <v>31</v>
      </c>
      <c r="D10" s="1" t="s">
        <v>32</v>
      </c>
      <c r="E10" s="1">
        <v>3</v>
      </c>
      <c r="F10" s="1">
        <v>1250</v>
      </c>
      <c r="G10" s="1" t="str">
        <f t="shared" si="0"/>
        <v>Amit</v>
      </c>
      <c r="H10" s="5" t="str">
        <f t="shared" si="1"/>
        <v>Office Supplies</v>
      </c>
      <c r="I10" s="7">
        <f t="shared" si="2"/>
        <v>46272</v>
      </c>
      <c r="J10" s="5">
        <f t="shared" si="3"/>
        <v>3</v>
      </c>
      <c r="L10">
        <f>COUNTBLANK(J4:J33)</f>
        <v>0</v>
      </c>
    </row>
    <row r="11" spans="1:12" x14ac:dyDescent="0.3">
      <c r="A11" s="1" t="s">
        <v>33</v>
      </c>
      <c r="B11" s="1" t="s">
        <v>34</v>
      </c>
      <c r="C11" s="1" t="s">
        <v>8</v>
      </c>
      <c r="D11" s="1" t="s">
        <v>35</v>
      </c>
      <c r="E11" s="1">
        <v>2</v>
      </c>
      <c r="F11" s="1">
        <v>6200</v>
      </c>
      <c r="G11" s="1" t="str">
        <f t="shared" si="0"/>
        <v>Riya</v>
      </c>
      <c r="H11" s="5" t="str">
        <f t="shared" si="1"/>
        <v>Technology</v>
      </c>
      <c r="I11" s="7">
        <f t="shared" si="2"/>
        <v>46273</v>
      </c>
      <c r="J11" s="5">
        <f t="shared" si="3"/>
        <v>2</v>
      </c>
      <c r="L11">
        <f>COUNTIF(I4:I33,"Unknown")</f>
        <v>1</v>
      </c>
    </row>
    <row r="12" spans="1:12" x14ac:dyDescent="0.3">
      <c r="A12" s="1" t="s">
        <v>36</v>
      </c>
      <c r="B12" s="1" t="s">
        <v>37</v>
      </c>
      <c r="C12" s="1" t="s">
        <v>38</v>
      </c>
      <c r="D12" s="1" t="s">
        <v>39</v>
      </c>
      <c r="E12" s="1">
        <v>1</v>
      </c>
      <c r="F12" s="1">
        <v>6200</v>
      </c>
      <c r="G12" s="1" t="str">
        <f t="shared" si="0"/>
        <v>Arjun</v>
      </c>
      <c r="H12" s="5" t="str">
        <f t="shared" si="1"/>
        <v>Technology</v>
      </c>
      <c r="I12" s="7">
        <f t="shared" si="2"/>
        <v>46274</v>
      </c>
      <c r="J12" s="5">
        <f t="shared" si="3"/>
        <v>1</v>
      </c>
      <c r="L12">
        <f>COUNTA(_xlfn.UNIQUE(H4:H33))</f>
        <v>4</v>
      </c>
    </row>
    <row r="13" spans="1:12" x14ac:dyDescent="0.3">
      <c r="A13" s="1" t="s">
        <v>40</v>
      </c>
      <c r="B13" s="1" t="s">
        <v>11</v>
      </c>
      <c r="C13" s="1" t="s">
        <v>20</v>
      </c>
      <c r="D13" s="1" t="s">
        <v>41</v>
      </c>
      <c r="E13" s="1">
        <v>3</v>
      </c>
      <c r="F13" s="1">
        <v>6500</v>
      </c>
      <c r="G13" s="1" t="str">
        <f t="shared" si="0"/>
        <v>Priya</v>
      </c>
      <c r="H13" s="5" t="str">
        <f t="shared" si="1"/>
        <v>Furniture</v>
      </c>
      <c r="I13" s="7">
        <f t="shared" si="2"/>
        <v>46275</v>
      </c>
      <c r="J13" s="5">
        <f t="shared" si="3"/>
        <v>3</v>
      </c>
    </row>
    <row r="14" spans="1:12" x14ac:dyDescent="0.3">
      <c r="A14" s="1" t="s">
        <v>42</v>
      </c>
      <c r="B14" s="1" t="s">
        <v>43</v>
      </c>
      <c r="C14" s="1" t="s">
        <v>8</v>
      </c>
      <c r="D14" s="1" t="s">
        <v>44</v>
      </c>
      <c r="E14" s="1">
        <v>2</v>
      </c>
      <c r="F14" s="1">
        <v>1450</v>
      </c>
      <c r="G14" s="1" t="str">
        <f t="shared" si="0"/>
        <v>Meera</v>
      </c>
      <c r="H14" s="5" t="str">
        <f t="shared" si="1"/>
        <v>Technology</v>
      </c>
      <c r="I14" s="7">
        <f t="shared" si="2"/>
        <v>46276</v>
      </c>
      <c r="J14" s="5">
        <f t="shared" si="3"/>
        <v>2</v>
      </c>
    </row>
    <row r="15" spans="1:12" x14ac:dyDescent="0.3">
      <c r="A15" s="1" t="s">
        <v>45</v>
      </c>
      <c r="B15" s="1" t="s">
        <v>46</v>
      </c>
      <c r="C15" s="1" t="s">
        <v>27</v>
      </c>
      <c r="D15" s="1" t="s">
        <v>91</v>
      </c>
      <c r="E15" s="1">
        <v>1</v>
      </c>
      <c r="F15" s="1">
        <v>450</v>
      </c>
      <c r="G15" s="1" t="str">
        <f t="shared" si="0"/>
        <v>Vivek</v>
      </c>
      <c r="H15" s="5" t="str">
        <f t="shared" si="1"/>
        <v>Office Supplies</v>
      </c>
      <c r="I15" s="7" t="str">
        <f t="shared" si="2"/>
        <v>Unknown</v>
      </c>
      <c r="J15" s="5">
        <f t="shared" si="3"/>
        <v>1</v>
      </c>
    </row>
    <row r="16" spans="1:12" x14ac:dyDescent="0.3">
      <c r="A16" s="1" t="s">
        <v>47</v>
      </c>
      <c r="B16" s="1" t="s">
        <v>48</v>
      </c>
      <c r="C16" s="1" t="s">
        <v>20</v>
      </c>
      <c r="D16" s="1" t="s">
        <v>49</v>
      </c>
      <c r="E16" s="1">
        <v>2</v>
      </c>
      <c r="F16" s="1">
        <v>2100</v>
      </c>
      <c r="G16" s="1" t="str">
        <f t="shared" si="0"/>
        <v>Rahul</v>
      </c>
      <c r="H16" s="5" t="str">
        <f t="shared" si="1"/>
        <v>Furniture</v>
      </c>
      <c r="I16" s="7">
        <f t="shared" si="2"/>
        <v>46278</v>
      </c>
      <c r="J16" s="5">
        <f t="shared" si="3"/>
        <v>2</v>
      </c>
    </row>
    <row r="17" spans="1:10" x14ac:dyDescent="0.3">
      <c r="A17" s="1" t="s">
        <v>50</v>
      </c>
      <c r="B17" s="1" t="s">
        <v>51</v>
      </c>
      <c r="C17" s="1" t="s">
        <v>20</v>
      </c>
      <c r="D17" s="1" t="s">
        <v>52</v>
      </c>
      <c r="E17" s="1">
        <v>1</v>
      </c>
      <c r="F17" s="1">
        <v>1800</v>
      </c>
      <c r="G17" s="1" t="str">
        <f t="shared" si="0"/>
        <v>Anjali</v>
      </c>
      <c r="H17" s="5" t="str">
        <f t="shared" si="1"/>
        <v>Furniture</v>
      </c>
      <c r="I17" s="7">
        <f t="shared" si="2"/>
        <v>46279</v>
      </c>
      <c r="J17" s="5">
        <f t="shared" si="3"/>
        <v>1</v>
      </c>
    </row>
    <row r="18" spans="1:10" x14ac:dyDescent="0.3">
      <c r="A18" s="1" t="s">
        <v>53</v>
      </c>
      <c r="B18" s="1" t="s">
        <v>54</v>
      </c>
      <c r="C18" s="1" t="s">
        <v>27</v>
      </c>
      <c r="D18" s="1" t="s">
        <v>55</v>
      </c>
      <c r="E18" s="1">
        <v>4</v>
      </c>
      <c r="F18" s="1">
        <v>2400</v>
      </c>
      <c r="G18" s="1" t="str">
        <f t="shared" si="0"/>
        <v>Nikhil</v>
      </c>
      <c r="H18" s="5" t="str">
        <f t="shared" si="1"/>
        <v>Office Supplies</v>
      </c>
      <c r="I18" s="7">
        <f t="shared" si="2"/>
        <v>46280</v>
      </c>
      <c r="J18" s="5">
        <f t="shared" si="3"/>
        <v>4</v>
      </c>
    </row>
    <row r="19" spans="1:10" x14ac:dyDescent="0.3">
      <c r="A19" s="1" t="s">
        <v>56</v>
      </c>
      <c r="B19" s="1" t="s">
        <v>19</v>
      </c>
      <c r="C19" s="1" t="s">
        <v>8</v>
      </c>
      <c r="D19" s="1" t="s">
        <v>57</v>
      </c>
      <c r="E19" s="1">
        <v>2</v>
      </c>
      <c r="F19" s="1">
        <v>6200</v>
      </c>
      <c r="G19" s="1" t="str">
        <f t="shared" si="0"/>
        <v>Neha</v>
      </c>
      <c r="H19" s="5" t="str">
        <f t="shared" si="1"/>
        <v>Technology</v>
      </c>
      <c r="I19" s="7">
        <f t="shared" si="2"/>
        <v>46281</v>
      </c>
      <c r="J19" s="5">
        <f t="shared" si="3"/>
        <v>2</v>
      </c>
    </row>
    <row r="20" spans="1:10" x14ac:dyDescent="0.3">
      <c r="A20" s="1" t="s">
        <v>58</v>
      </c>
      <c r="B20" s="1" t="s">
        <v>23</v>
      </c>
      <c r="C20" s="1" t="s">
        <v>8</v>
      </c>
      <c r="D20" s="1" t="s">
        <v>59</v>
      </c>
      <c r="E20" s="1">
        <v>3</v>
      </c>
      <c r="F20" s="1">
        <v>850</v>
      </c>
      <c r="G20" s="1" t="str">
        <f t="shared" si="0"/>
        <v>Karan</v>
      </c>
      <c r="H20" s="5" t="str">
        <f t="shared" si="1"/>
        <v>Technology</v>
      </c>
      <c r="I20" s="7">
        <f t="shared" si="2"/>
        <v>46282</v>
      </c>
      <c r="J20" s="5">
        <f t="shared" si="3"/>
        <v>3</v>
      </c>
    </row>
    <row r="21" spans="1:10" x14ac:dyDescent="0.3">
      <c r="A21" s="1" t="s">
        <v>60</v>
      </c>
      <c r="B21" s="1" t="s">
        <v>61</v>
      </c>
      <c r="C21" s="1" t="s">
        <v>27</v>
      </c>
      <c r="D21" s="1" t="s">
        <v>62</v>
      </c>
      <c r="E21" s="1">
        <v>1</v>
      </c>
      <c r="F21" s="1">
        <v>1250</v>
      </c>
      <c r="G21" s="1" t="str">
        <f t="shared" si="0"/>
        <v>Pooja</v>
      </c>
      <c r="H21" s="5" t="str">
        <f t="shared" si="1"/>
        <v>Office Supplies</v>
      </c>
      <c r="I21" s="7">
        <f t="shared" si="2"/>
        <v>46283</v>
      </c>
      <c r="J21" s="5">
        <f t="shared" si="3"/>
        <v>1</v>
      </c>
    </row>
    <row r="22" spans="1:10" x14ac:dyDescent="0.3">
      <c r="A22" s="1" t="s">
        <v>63</v>
      </c>
      <c r="B22" s="1" t="s">
        <v>64</v>
      </c>
      <c r="C22" s="1" t="s">
        <v>8</v>
      </c>
      <c r="D22" s="1" t="s">
        <v>65</v>
      </c>
      <c r="E22" s="1">
        <v>2</v>
      </c>
      <c r="F22" s="1">
        <v>1250</v>
      </c>
      <c r="G22" s="1" t="str">
        <f t="shared" si="0"/>
        <v>Isha</v>
      </c>
      <c r="H22" s="5" t="str">
        <f t="shared" si="1"/>
        <v>Technology</v>
      </c>
      <c r="I22" s="7">
        <f t="shared" si="2"/>
        <v>46284</v>
      </c>
      <c r="J22" s="5">
        <f t="shared" si="3"/>
        <v>2</v>
      </c>
    </row>
    <row r="23" spans="1:10" x14ac:dyDescent="0.3">
      <c r="A23" s="1" t="s">
        <v>66</v>
      </c>
      <c r="B23" s="1" t="s">
        <v>67</v>
      </c>
      <c r="C23" s="1" t="s">
        <v>20</v>
      </c>
      <c r="D23" s="1" t="s">
        <v>68</v>
      </c>
      <c r="E23" s="1">
        <v>1</v>
      </c>
      <c r="F23" s="1">
        <v>6500</v>
      </c>
      <c r="G23" s="1" t="str">
        <f t="shared" si="0"/>
        <v>Manav</v>
      </c>
      <c r="H23" s="5" t="str">
        <f t="shared" si="1"/>
        <v>Furniture</v>
      </c>
      <c r="I23" s="7">
        <f t="shared" si="2"/>
        <v>46285</v>
      </c>
      <c r="J23" s="5">
        <f t="shared" si="3"/>
        <v>1</v>
      </c>
    </row>
    <row r="24" spans="1:10" x14ac:dyDescent="0.3">
      <c r="A24" s="1" t="s">
        <v>69</v>
      </c>
      <c r="B24" s="1" t="s">
        <v>34</v>
      </c>
      <c r="C24" s="1" t="s">
        <v>27</v>
      </c>
      <c r="D24" s="1" t="s">
        <v>70</v>
      </c>
      <c r="E24" s="1">
        <v>2</v>
      </c>
      <c r="F24" s="1">
        <v>450</v>
      </c>
      <c r="G24" s="1" t="str">
        <f t="shared" si="0"/>
        <v>Riya</v>
      </c>
      <c r="H24" s="5" t="str">
        <f t="shared" si="1"/>
        <v>Office Supplies</v>
      </c>
      <c r="I24" s="7">
        <f t="shared" si="2"/>
        <v>46286</v>
      </c>
      <c r="J24" s="5">
        <f t="shared" si="3"/>
        <v>2</v>
      </c>
    </row>
    <row r="25" spans="1:10" x14ac:dyDescent="0.3">
      <c r="A25" s="1" t="s">
        <v>71</v>
      </c>
      <c r="B25" s="1" t="s">
        <v>37</v>
      </c>
      <c r="C25" s="1" t="s">
        <v>8</v>
      </c>
      <c r="D25" s="1" t="s">
        <v>72</v>
      </c>
      <c r="E25" s="1">
        <v>1</v>
      </c>
      <c r="F25" s="1">
        <v>1450</v>
      </c>
      <c r="G25" s="1" t="str">
        <f t="shared" si="0"/>
        <v>Arjun</v>
      </c>
      <c r="H25" s="5" t="str">
        <f t="shared" si="1"/>
        <v>Technology</v>
      </c>
      <c r="I25" s="7">
        <f t="shared" si="2"/>
        <v>46287</v>
      </c>
      <c r="J25" s="5">
        <f t="shared" si="3"/>
        <v>1</v>
      </c>
    </row>
    <row r="26" spans="1:10" x14ac:dyDescent="0.3">
      <c r="A26" s="1" t="s">
        <v>73</v>
      </c>
      <c r="B26" s="1" t="s">
        <v>43</v>
      </c>
      <c r="C26" s="1" t="s">
        <v>91</v>
      </c>
      <c r="D26" s="1" t="s">
        <v>74</v>
      </c>
      <c r="E26" s="1">
        <v>3</v>
      </c>
      <c r="F26" s="1">
        <v>2100</v>
      </c>
      <c r="G26" s="1" t="str">
        <f t="shared" si="0"/>
        <v>Meera</v>
      </c>
      <c r="H26" s="5" t="str">
        <f t="shared" si="1"/>
        <v>Unknown</v>
      </c>
      <c r="I26" s="7">
        <f t="shared" si="2"/>
        <v>46288</v>
      </c>
      <c r="J26" s="5">
        <f t="shared" si="3"/>
        <v>3</v>
      </c>
    </row>
    <row r="27" spans="1:10" x14ac:dyDescent="0.3">
      <c r="A27" s="1" t="s">
        <v>75</v>
      </c>
      <c r="B27" s="1" t="s">
        <v>46</v>
      </c>
      <c r="C27" s="1" t="s">
        <v>27</v>
      </c>
      <c r="D27" s="1" t="s">
        <v>76</v>
      </c>
      <c r="E27" s="1">
        <v>2</v>
      </c>
      <c r="F27" s="1">
        <v>780</v>
      </c>
      <c r="G27" s="1" t="str">
        <f t="shared" si="0"/>
        <v>Vivek</v>
      </c>
      <c r="H27" s="5" t="str">
        <f t="shared" si="1"/>
        <v>Office Supplies</v>
      </c>
      <c r="I27" s="7">
        <f t="shared" si="2"/>
        <v>46289</v>
      </c>
      <c r="J27" s="5">
        <f t="shared" si="3"/>
        <v>2</v>
      </c>
    </row>
    <row r="28" spans="1:10" x14ac:dyDescent="0.3">
      <c r="A28" s="1" t="s">
        <v>77</v>
      </c>
      <c r="B28" s="1" t="s">
        <v>51</v>
      </c>
      <c r="C28" s="1" t="s">
        <v>8</v>
      </c>
      <c r="D28" s="1" t="s">
        <v>78</v>
      </c>
      <c r="E28" s="1">
        <v>1</v>
      </c>
      <c r="F28" s="1">
        <v>3600</v>
      </c>
      <c r="G28" s="1" t="str">
        <f t="shared" si="0"/>
        <v>Anjali</v>
      </c>
      <c r="H28" s="5" t="str">
        <f t="shared" si="1"/>
        <v>Technology</v>
      </c>
      <c r="I28" s="7">
        <f t="shared" si="2"/>
        <v>46290</v>
      </c>
      <c r="J28" s="5">
        <f t="shared" si="3"/>
        <v>1</v>
      </c>
    </row>
    <row r="29" spans="1:10" x14ac:dyDescent="0.3">
      <c r="A29" s="1" t="s">
        <v>79</v>
      </c>
      <c r="B29" s="1" t="s">
        <v>54</v>
      </c>
      <c r="C29" s="1" t="s">
        <v>20</v>
      </c>
      <c r="D29" s="1" t="s">
        <v>80</v>
      </c>
      <c r="E29" s="1">
        <v>2</v>
      </c>
      <c r="F29" s="1">
        <v>7200</v>
      </c>
      <c r="G29" s="1" t="str">
        <f t="shared" si="0"/>
        <v>Nikhil</v>
      </c>
      <c r="H29" s="5" t="str">
        <f t="shared" si="1"/>
        <v>Furniture</v>
      </c>
      <c r="I29" s="7">
        <f t="shared" si="2"/>
        <v>46291</v>
      </c>
      <c r="J29" s="5">
        <f t="shared" si="3"/>
        <v>2</v>
      </c>
    </row>
    <row r="30" spans="1:10" x14ac:dyDescent="0.3">
      <c r="A30" s="1" t="s">
        <v>81</v>
      </c>
      <c r="B30" s="1" t="s">
        <v>64</v>
      </c>
      <c r="C30" s="1" t="s">
        <v>8</v>
      </c>
      <c r="D30" s="1" t="s">
        <v>82</v>
      </c>
      <c r="E30" s="1">
        <v>3</v>
      </c>
      <c r="F30" s="1">
        <v>1100</v>
      </c>
      <c r="G30" s="1" t="str">
        <f t="shared" si="0"/>
        <v>Isha</v>
      </c>
      <c r="H30" s="5" t="str">
        <f t="shared" si="1"/>
        <v>Technology</v>
      </c>
      <c r="I30" s="7">
        <f t="shared" si="2"/>
        <v>46292</v>
      </c>
      <c r="J30" s="5">
        <f t="shared" si="3"/>
        <v>3</v>
      </c>
    </row>
    <row r="31" spans="1:10" x14ac:dyDescent="0.3">
      <c r="A31" s="1" t="s">
        <v>83</v>
      </c>
      <c r="B31" s="1" t="s">
        <v>67</v>
      </c>
      <c r="C31" s="1" t="s">
        <v>27</v>
      </c>
      <c r="D31" s="1" t="s">
        <v>84</v>
      </c>
      <c r="E31" s="1" t="s">
        <v>85</v>
      </c>
      <c r="F31" s="1">
        <v>2400</v>
      </c>
      <c r="G31" s="1" t="str">
        <f t="shared" si="0"/>
        <v>Manav</v>
      </c>
      <c r="H31" s="5" t="str">
        <f t="shared" si="1"/>
        <v>Office Supplies</v>
      </c>
      <c r="I31" s="7">
        <f t="shared" si="2"/>
        <v>46293</v>
      </c>
      <c r="J31" s="5">
        <f t="shared" si="3"/>
        <v>2</v>
      </c>
    </row>
    <row r="32" spans="1:10" x14ac:dyDescent="0.3">
      <c r="A32" s="1" t="s">
        <v>86</v>
      </c>
      <c r="B32" s="1" t="s">
        <v>87</v>
      </c>
      <c r="C32" s="1" t="s">
        <v>16</v>
      </c>
      <c r="D32" s="1" t="s">
        <v>88</v>
      </c>
      <c r="E32" s="1">
        <v>2</v>
      </c>
      <c r="F32" s="1">
        <v>850</v>
      </c>
      <c r="G32" s="1" t="str">
        <f t="shared" si="0"/>
        <v>Amit</v>
      </c>
      <c r="H32" s="5" t="str">
        <f t="shared" si="1"/>
        <v>Technology</v>
      </c>
      <c r="I32" s="7">
        <f t="shared" si="2"/>
        <v>46294</v>
      </c>
      <c r="J32" s="5">
        <f t="shared" si="3"/>
        <v>2</v>
      </c>
    </row>
    <row r="33" spans="1:10" x14ac:dyDescent="0.3">
      <c r="A33" s="1" t="s">
        <v>89</v>
      </c>
      <c r="B33" s="1" t="s">
        <v>11</v>
      </c>
      <c r="C33" s="1" t="s">
        <v>20</v>
      </c>
      <c r="D33" s="1" t="s">
        <v>90</v>
      </c>
      <c r="E33" s="1">
        <v>1</v>
      </c>
      <c r="F33" s="1">
        <v>6500</v>
      </c>
      <c r="G33" s="1" t="str">
        <f t="shared" si="0"/>
        <v>Priya</v>
      </c>
      <c r="H33" s="5" t="str">
        <f t="shared" si="1"/>
        <v>Furniture</v>
      </c>
      <c r="I33" s="7">
        <f t="shared" si="2"/>
        <v>46295</v>
      </c>
      <c r="J33" s="5">
        <f t="shared" si="3"/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data</vt:lpstr>
      <vt:lpstr>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Namrata</dc:creator>
  <cp:lastModifiedBy>Namrata Tarapara</cp:lastModifiedBy>
  <dcterms:created xsi:type="dcterms:W3CDTF">2015-06-05T18:17:20Z</dcterms:created>
  <dcterms:modified xsi:type="dcterms:W3CDTF">2026-09-30T14:21:26Z</dcterms:modified>
</cp:coreProperties>
</file>