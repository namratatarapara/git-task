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47080CDE-A0A9-478C-A828-D6FDE296D4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E4" i="1"/>
  <c r="F4" i="1" s="1"/>
  <c r="E5" i="1"/>
  <c r="E6" i="1"/>
  <c r="E7" i="1"/>
  <c r="E8" i="1"/>
  <c r="E9" i="1"/>
  <c r="E10" i="1"/>
  <c r="E11" i="1"/>
  <c r="E12" i="1"/>
  <c r="E13" i="1"/>
  <c r="E14" i="1"/>
  <c r="F14" i="1" s="1"/>
  <c r="E15" i="1"/>
  <c r="E16" i="1"/>
  <c r="F16" i="1" s="1"/>
  <c r="E17" i="1"/>
  <c r="E18" i="1"/>
  <c r="E19" i="1"/>
  <c r="E20" i="1"/>
  <c r="E21" i="1"/>
  <c r="F21" i="1" s="1"/>
  <c r="E22" i="1"/>
  <c r="E23" i="1"/>
  <c r="E24" i="1"/>
  <c r="E25" i="1"/>
  <c r="E26" i="1"/>
  <c r="E27" i="1"/>
  <c r="E28" i="1"/>
  <c r="E29" i="1"/>
  <c r="F29" i="1" s="1"/>
  <c r="E30" i="1"/>
  <c r="E31" i="1"/>
  <c r="E32" i="1"/>
  <c r="E33" i="1"/>
  <c r="O6" i="1" l="1"/>
  <c r="O5" i="1"/>
  <c r="O4" i="1"/>
  <c r="O12" i="1"/>
  <c r="O11" i="1"/>
  <c r="F30" i="1"/>
  <c r="K25" i="1"/>
  <c r="F31" i="1"/>
  <c r="K26" i="1"/>
  <c r="F32" i="1"/>
  <c r="K27" i="1"/>
  <c r="L27" i="1" s="1"/>
  <c r="F33" i="1"/>
  <c r="K28" i="1"/>
  <c r="L28" i="1" s="1"/>
  <c r="L26" i="1"/>
  <c r="L25" i="1"/>
  <c r="F5" i="1"/>
  <c r="K5" i="1"/>
  <c r="L5" i="1" s="1"/>
  <c r="F17" i="1"/>
  <c r="K14" i="1"/>
  <c r="F18" i="1"/>
  <c r="K15" i="1"/>
  <c r="L15" i="1" s="1"/>
  <c r="F19" i="1"/>
  <c r="K16" i="1"/>
  <c r="L16" i="1" s="1"/>
  <c r="F20" i="1"/>
  <c r="K17" i="1"/>
  <c r="L17" i="1" s="1"/>
  <c r="F22" i="1"/>
  <c r="K18" i="1"/>
  <c r="L18" i="1" s="1"/>
  <c r="F23" i="1"/>
  <c r="K19" i="1"/>
  <c r="L19" i="1" s="1"/>
  <c r="F25" i="1"/>
  <c r="K21" i="1"/>
  <c r="L21" i="1" s="1"/>
  <c r="F26" i="1"/>
  <c r="K22" i="1"/>
  <c r="L22" i="1" s="1"/>
  <c r="F27" i="1"/>
  <c r="K23" i="1"/>
  <c r="L23" i="1" s="1"/>
  <c r="F28" i="1"/>
  <c r="K24" i="1"/>
  <c r="L24" i="1" s="1"/>
  <c r="F6" i="1"/>
  <c r="K4" i="1"/>
  <c r="F7" i="1"/>
  <c r="K6" i="1"/>
  <c r="L6" i="1" s="1"/>
  <c r="F8" i="1"/>
  <c r="K7" i="1"/>
  <c r="F9" i="1"/>
  <c r="K8" i="1"/>
  <c r="L8" i="1" s="1"/>
  <c r="F10" i="1"/>
  <c r="K9" i="1"/>
  <c r="L9" i="1" s="1"/>
  <c r="F11" i="1"/>
  <c r="K10" i="1"/>
  <c r="L10" i="1" s="1"/>
  <c r="F12" i="1"/>
  <c r="K11" i="1"/>
  <c r="L11" i="1" s="1"/>
  <c r="F13" i="1"/>
  <c r="K12" i="1"/>
  <c r="L12" i="1" s="1"/>
  <c r="F15" i="1"/>
  <c r="K13" i="1"/>
  <c r="L13" i="1" s="1"/>
  <c r="F24" i="1"/>
  <c r="K20" i="1"/>
  <c r="L20" i="1" s="1"/>
  <c r="O14" i="1" l="1"/>
  <c r="O13" i="1"/>
  <c r="L14" i="1"/>
  <c r="P6" i="1"/>
  <c r="Q6" i="1" s="1"/>
  <c r="L4" i="1"/>
  <c r="P4" i="1"/>
  <c r="Q4" i="1" s="1"/>
  <c r="L7" i="1"/>
  <c r="P5" i="1"/>
  <c r="Q5" i="1" s="1"/>
  <c r="O16" i="1" l="1"/>
  <c r="O15" i="1"/>
</calcChain>
</file>

<file path=xl/sharedStrings.xml><?xml version="1.0" encoding="utf-8"?>
<sst xmlns="http://schemas.openxmlformats.org/spreadsheetml/2006/main" count="110" uniqueCount="44">
  <si>
    <t>Product Name</t>
  </si>
  <si>
    <t>Sales</t>
  </si>
  <si>
    <t>Category</t>
  </si>
  <si>
    <t>Furniture</t>
  </si>
  <si>
    <t>Office Supplies</t>
  </si>
  <si>
    <t>Technology</t>
  </si>
  <si>
    <t>Cost</t>
  </si>
  <si>
    <t>Wireless Mouse</t>
  </si>
  <si>
    <t>Laptop Stand</t>
  </si>
  <si>
    <t>Ergonomic Office Chair</t>
  </si>
  <si>
    <t>Study Desk</t>
  </si>
  <si>
    <t>Desk Lamp</t>
  </si>
  <si>
    <t>Laser Printer</t>
  </si>
  <si>
    <t>External Hard Drive</t>
  </si>
  <si>
    <t>Webcam HD</t>
  </si>
  <si>
    <t>Ballpoint Pen Pack</t>
  </si>
  <si>
    <t>Stapler Heavy Duty</t>
  </si>
  <si>
    <t>Whiteboard</t>
  </si>
  <si>
    <t>Office Table</t>
  </si>
  <si>
    <t>Bookshelf</t>
  </si>
  <si>
    <t>Computer Monitor</t>
  </si>
  <si>
    <t>Wireless Router</t>
  </si>
  <si>
    <t>Power Strip</t>
  </si>
  <si>
    <t>Calculator</t>
  </si>
  <si>
    <t>Printer Paper Box</t>
  </si>
  <si>
    <t>Conference Table</t>
  </si>
  <si>
    <t>Visitor Chair</t>
  </si>
  <si>
    <t>Tablet</t>
  </si>
  <si>
    <t>Mechanical Keyboard</t>
  </si>
  <si>
    <t>Desk Organizer</t>
  </si>
  <si>
    <t>Pen Drive 64GB</t>
  </si>
  <si>
    <t>Document Tray</t>
  </si>
  <si>
    <t>Profit</t>
  </si>
  <si>
    <t>Profit Margin</t>
  </si>
  <si>
    <t>Total Sales</t>
  </si>
  <si>
    <t>Total Profit</t>
  </si>
  <si>
    <t>KPI</t>
  </si>
  <si>
    <t>Result</t>
  </si>
  <si>
    <t>Highest Sales Product</t>
  </si>
  <si>
    <t>Lowest Sales Product</t>
  </si>
  <si>
    <t>Highest Profit Product</t>
  </si>
  <si>
    <t>Lowest Profit Product</t>
  </si>
  <si>
    <t>Highest Profit Margin</t>
  </si>
  <si>
    <t>Lowest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</si>
</sst>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0" fontId="0" fillId="0" borderId="0" xfId="0" applyFont="1" applyAlignment="1">
      <alignment horizontal="right" vertical="center" wrapText="1"/>
    </xf>
    <xf numFmtId="169" fontId="0" fillId="0" borderId="0" xfId="2" applyNumberFormat="1" applyFont="1"/>
    <xf numFmtId="169" fontId="4" fillId="0" borderId="0" xfId="2" applyNumberFormat="1" applyFont="1" applyAlignment="1">
      <alignment horizontal="right" vertical="center" wrapText="1"/>
    </xf>
  </cellXfs>
  <cellStyles count="3">
    <cellStyle name="Normal" xfId="0" builtinId="0"/>
    <cellStyle name="Normal 2" xfId="1" xr:uid="{EA5FD9EE-8802-4578-BFF6-60DD182B9EE4}"/>
    <cellStyle name="Percent" xfId="2" builtinId="5"/>
  </cellStyles>
  <dxfs count="11">
    <dxf>
      <numFmt numFmtId="169" formatCode="0.000%"/>
    </dxf>
    <dxf>
      <numFmt numFmtId="0" formatCode="General"/>
    </dxf>
    <dxf>
      <numFmt numFmtId="169" formatCode="0.0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53FA5-C357-4782-98D0-1322DDA1129E}" name="Table1" displayName="Table1" ref="A3:F33" totalsRowShown="0" headerRowDxfId="10" headerRowBorderDxfId="9" tableBorderDxfId="8">
  <tableColumns count="6">
    <tableColumn id="1" xr3:uid="{62F80CB3-A83F-4CF0-91EC-86EEB3D95CFC}" name="Product Name"/>
    <tableColumn id="2" xr3:uid="{CC97E9DD-CF7E-4E37-A3F1-6736FE75A7C8}" name="Category"/>
    <tableColumn id="3" xr3:uid="{3E2F93CA-49E5-46F7-9770-43C1B03474B6}" name="Sales"/>
    <tableColumn id="4" xr3:uid="{AA84768E-A35E-4D4B-9740-A563768931D7}" name="Cost"/>
    <tableColumn id="5" xr3:uid="{4F0C4051-B2C6-4FC9-BB7A-CD117A6C00CB}" name="Profit" dataDxfId="1">
      <calculatedColumnFormula>C4-D4</calculatedColumnFormula>
    </tableColumn>
    <tableColumn id="6" xr3:uid="{ACBFA11D-8E7C-479C-BDC4-FE8CB50985D0}" name="Profit Margin" dataDxfId="0" dataCellStyle="Percent">
      <calculatedColumnFormula>E4/C4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41B711-2625-4C21-8EBD-203822AEBFDE}" name="Table4" displayName="Table4" ref="I3:L28" totalsRowShown="0">
  <tableColumns count="4">
    <tableColumn id="1" xr3:uid="{7FB63B71-E440-42C9-B471-03AA966A9B30}" name="Product Name"/>
    <tableColumn id="2" xr3:uid="{FA52B133-55A3-4BEA-96FD-2B79111D2365}" name="Total Sales" dataDxfId="7">
      <calculatedColumnFormula>SUMIF(A4:A33,"Wireless Mouse",C4:C33)</calculatedColumnFormula>
    </tableColumn>
    <tableColumn id="3" xr3:uid="{C1AE4C3A-FF1A-4B7E-BF1B-CB9DDEA7A0AB}" name="Total Profit" dataDxfId="3">
      <calculatedColumnFormula>SUMIF(A4:A33,"Wireless Mouse",E4:E33)</calculatedColumnFormula>
    </tableColumn>
    <tableColumn id="4" xr3:uid="{40F9373C-118E-4D10-9E0C-03B447D7CBD5}" name="Profit Margin" dataDxfId="2" dataCellStyle="Percent">
      <calculatedColumnFormula>K4/J4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51ED37-9572-4233-883E-81C79CE179BD}" name="Table5" displayName="Table5" ref="N3:Q6" totalsRowShown="0">
  <tableColumns count="4">
    <tableColumn id="1" xr3:uid="{5087FB1E-87B5-4E4E-B9F1-054EEF2295C7}" name="Category"/>
    <tableColumn id="2" xr3:uid="{46B3A111-58C4-4969-882C-EFF5E79DBCA6}" name="Total Sales" dataDxfId="6">
      <calculatedColumnFormula>SUMIF(B4:B33,"Technology",J4:J28)</calculatedColumnFormula>
    </tableColumn>
    <tableColumn id="3" xr3:uid="{6257F1C3-752C-42ED-9181-3BE70499E5CE}" name="Total Profit" dataDxfId="5">
      <calculatedColumnFormula>SUMIF(B4:B33,"Technology",K4:K28)</calculatedColumnFormula>
    </tableColumn>
    <tableColumn id="4" xr3:uid="{EA27B024-47ED-415C-BD7D-514FA812E87C}" name="Profit Margin" dataCellStyle="Percent">
      <calculatedColumnFormula>P4/O4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D95FC0-FEB6-4319-8072-C508D1F43563}" name="Table6" displayName="Table6" ref="N10:O16" totalsRowShown="0">
  <tableColumns count="2">
    <tableColumn id="1" xr3:uid="{8C2BA613-F04F-4FAE-B1A7-1E8297FA68E3}" name="KPI"/>
    <tableColumn id="2" xr3:uid="{E4CE46C4-D80B-4B8C-97CD-9C019072733F}" name="Result" dataDxfId="4">
      <calculatedColumnFormula>_xlfn.XLOOKUP(MAX(J4:J28),J4:J28,I4:I28)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3"/>
  <sheetViews>
    <sheetView tabSelected="1" zoomScale="72" workbookViewId="0">
      <selection activeCell="N24" sqref="N24"/>
    </sheetView>
  </sheetViews>
  <sheetFormatPr defaultRowHeight="14.4" x14ac:dyDescent="0.3"/>
  <cols>
    <col min="1" max="1" width="27.109375" customWidth="1"/>
    <col min="2" max="2" width="21.33203125" customWidth="1"/>
    <col min="3" max="3" width="13.88671875" customWidth="1"/>
    <col min="6" max="6" width="15.88671875" style="3" customWidth="1"/>
    <col min="9" max="9" width="27.109375" customWidth="1"/>
    <col min="10" max="10" width="19.33203125" customWidth="1"/>
    <col min="11" max="11" width="14.109375" customWidth="1"/>
    <col min="12" max="12" width="21.5546875" style="3" customWidth="1"/>
    <col min="14" max="14" width="23.109375" customWidth="1"/>
    <col min="15" max="15" width="17.5546875" customWidth="1"/>
    <col min="16" max="16" width="16.33203125" customWidth="1"/>
    <col min="17" max="17" width="18.33203125" style="3" customWidth="1"/>
  </cols>
  <sheetData>
    <row r="3" spans="1:17" x14ac:dyDescent="0.3">
      <c r="A3" s="1" t="s">
        <v>0</v>
      </c>
      <c r="B3" s="1" t="s">
        <v>2</v>
      </c>
      <c r="C3" s="1" t="s">
        <v>1</v>
      </c>
      <c r="D3" s="1" t="s">
        <v>6</v>
      </c>
      <c r="E3" s="1" t="s">
        <v>32</v>
      </c>
      <c r="F3" s="2" t="s">
        <v>33</v>
      </c>
      <c r="I3" t="s">
        <v>0</v>
      </c>
      <c r="J3" t="s">
        <v>34</v>
      </c>
      <c r="K3" t="s">
        <v>35</v>
      </c>
      <c r="L3" s="2" t="s">
        <v>33</v>
      </c>
      <c r="N3" t="s">
        <v>2</v>
      </c>
      <c r="O3" t="s">
        <v>34</v>
      </c>
      <c r="P3" t="s">
        <v>35</v>
      </c>
      <c r="Q3" s="2" t="s">
        <v>33</v>
      </c>
    </row>
    <row r="4" spans="1:17" x14ac:dyDescent="0.3">
      <c r="A4" t="s">
        <v>7</v>
      </c>
      <c r="B4" t="s">
        <v>5</v>
      </c>
      <c r="C4">
        <v>850</v>
      </c>
      <c r="D4">
        <v>520</v>
      </c>
      <c r="E4">
        <f t="shared" ref="E4:E33" si="0">C4-D4</f>
        <v>330</v>
      </c>
      <c r="F4" s="5">
        <f t="shared" ref="F4:F33" si="1">E4/C4</f>
        <v>0.38823529411764707</v>
      </c>
      <c r="I4" t="s">
        <v>7</v>
      </c>
      <c r="J4">
        <f t="shared" ref="J4" si="2">SUMIF(A4:A33,"Wireless Mouse",C4:C33)</f>
        <v>2100</v>
      </c>
      <c r="K4">
        <f t="shared" ref="K4" si="3">SUMIF(A4:A33,"Wireless Mouse",E4:E33)</f>
        <v>820</v>
      </c>
      <c r="L4" s="5">
        <f t="shared" ref="L4:L28" si="4">K4/J4</f>
        <v>0.39047619047619048</v>
      </c>
      <c r="N4" t="s">
        <v>5</v>
      </c>
      <c r="O4">
        <f t="shared" ref="O4" ca="1" si="5">SUMIF(B4:B33,"Technology",J4:J28)</f>
        <v>56980</v>
      </c>
      <c r="P4">
        <f t="shared" ref="P4" ca="1" si="6">SUMIF(B4:B33,"Technology",K4:K28)</f>
        <v>18170</v>
      </c>
      <c r="Q4" s="3">
        <f t="shared" ref="Q4:Q6" ca="1" si="7">P4/O4</f>
        <v>0.31888381888381889</v>
      </c>
    </row>
    <row r="5" spans="1:17" x14ac:dyDescent="0.3">
      <c r="A5" t="s">
        <v>27</v>
      </c>
      <c r="B5" t="s">
        <v>5</v>
      </c>
      <c r="C5">
        <v>1450</v>
      </c>
      <c r="D5">
        <v>900</v>
      </c>
      <c r="E5">
        <f t="shared" si="0"/>
        <v>550</v>
      </c>
      <c r="F5" s="5">
        <f t="shared" si="1"/>
        <v>0.37931034482758619</v>
      </c>
      <c r="I5" t="s">
        <v>27</v>
      </c>
      <c r="J5">
        <f>SUMIF(A4:A33,"Tablet",C4:C33)</f>
        <v>19950</v>
      </c>
      <c r="K5">
        <f>SUMIF(A4:A33,"Tablet",E4:E33)</f>
        <v>5550</v>
      </c>
      <c r="L5" s="5">
        <f t="shared" si="4"/>
        <v>0.2781954887218045</v>
      </c>
      <c r="N5" t="s">
        <v>3</v>
      </c>
      <c r="O5">
        <f ca="1">SUMIF(B4:B33,"Furniture",J4:J28)</f>
        <v>44870</v>
      </c>
      <c r="P5">
        <f ca="1">SUMIF(B4:B33,"Furniture",K4:K28)</f>
        <v>15170</v>
      </c>
      <c r="Q5" s="3">
        <f t="shared" ca="1" si="7"/>
        <v>0.33808780922665477</v>
      </c>
    </row>
    <row r="6" spans="1:17" x14ac:dyDescent="0.3">
      <c r="A6" t="s">
        <v>7</v>
      </c>
      <c r="B6" t="s">
        <v>5</v>
      </c>
      <c r="C6">
        <v>1250</v>
      </c>
      <c r="D6">
        <v>760</v>
      </c>
      <c r="E6">
        <f t="shared" si="0"/>
        <v>490</v>
      </c>
      <c r="F6" s="5">
        <f t="shared" si="1"/>
        <v>0.39200000000000002</v>
      </c>
      <c r="I6" t="s">
        <v>8</v>
      </c>
      <c r="J6">
        <f>SUMIF(A4:A33,"Laptop Stand",C4:C33)</f>
        <v>2100</v>
      </c>
      <c r="K6">
        <f>SUMIF(A4:A33,"Laptop Stand",E4:E33)</f>
        <v>750</v>
      </c>
      <c r="L6" s="5">
        <f t="shared" si="4"/>
        <v>0.35714285714285715</v>
      </c>
      <c r="N6" t="s">
        <v>4</v>
      </c>
      <c r="O6">
        <f ca="1">SUMIF(B4:B33,"Office Supplies",J4:J28)</f>
        <v>40730</v>
      </c>
      <c r="P6">
        <f ca="1">SUMIF(B4:B33,"Office Supplies",K4:K28)</f>
        <v>13510</v>
      </c>
      <c r="Q6" s="3">
        <f t="shared" ca="1" si="7"/>
        <v>0.33169653817824701</v>
      </c>
    </row>
    <row r="7" spans="1:17" x14ac:dyDescent="0.3">
      <c r="A7" t="s">
        <v>8</v>
      </c>
      <c r="B7" t="s">
        <v>3</v>
      </c>
      <c r="C7">
        <v>2100</v>
      </c>
      <c r="D7">
        <v>1350</v>
      </c>
      <c r="E7">
        <f t="shared" si="0"/>
        <v>750</v>
      </c>
      <c r="F7" s="5">
        <f t="shared" si="1"/>
        <v>0.35714285714285715</v>
      </c>
      <c r="I7" t="s">
        <v>9</v>
      </c>
      <c r="J7" s="4">
        <f>SUMIF(A4:A33,"Ergonomic Office Chair",C4:C33)</f>
        <v>15700</v>
      </c>
      <c r="K7" s="4">
        <f>SUMIF(A4:A33,"Ergonomic Office Chair",E4:E33)</f>
        <v>5400</v>
      </c>
      <c r="L7" s="6">
        <f t="shared" si="4"/>
        <v>0.34394904458598724</v>
      </c>
    </row>
    <row r="8" spans="1:17" x14ac:dyDescent="0.3">
      <c r="A8" t="s">
        <v>9</v>
      </c>
      <c r="B8" t="s">
        <v>3</v>
      </c>
      <c r="C8">
        <v>9800</v>
      </c>
      <c r="D8">
        <v>6500</v>
      </c>
      <c r="E8">
        <f t="shared" si="0"/>
        <v>3300</v>
      </c>
      <c r="F8" s="5">
        <f t="shared" si="1"/>
        <v>0.33673469387755101</v>
      </c>
      <c r="I8" t="s">
        <v>10</v>
      </c>
      <c r="J8">
        <f>SUMIF(A4:A33,"Study Desk",C4:C33)</f>
        <v>7500</v>
      </c>
      <c r="K8">
        <f>SUMIF(A4:A33,"Study Desk",E4:E33)</f>
        <v>2700</v>
      </c>
      <c r="L8" s="5">
        <f t="shared" si="4"/>
        <v>0.36</v>
      </c>
    </row>
    <row r="9" spans="1:17" x14ac:dyDescent="0.3">
      <c r="A9" t="s">
        <v>10</v>
      </c>
      <c r="B9" t="s">
        <v>3</v>
      </c>
      <c r="C9">
        <v>7500</v>
      </c>
      <c r="D9">
        <v>4800</v>
      </c>
      <c r="E9">
        <f t="shared" si="0"/>
        <v>2700</v>
      </c>
      <c r="F9" s="5">
        <f t="shared" si="1"/>
        <v>0.36</v>
      </c>
      <c r="I9" t="s">
        <v>11</v>
      </c>
      <c r="J9">
        <f>SUMIF(A4:A33,"Desk Lamp",C4:C33)</f>
        <v>1800</v>
      </c>
      <c r="K9">
        <f>SUMIF(A4:A33,"Desk Lamp",E4:E33)</f>
        <v>750</v>
      </c>
      <c r="L9" s="5">
        <f t="shared" si="4"/>
        <v>0.41666666666666669</v>
      </c>
    </row>
    <row r="10" spans="1:17" x14ac:dyDescent="0.3">
      <c r="A10" t="s">
        <v>11</v>
      </c>
      <c r="B10" t="s">
        <v>3</v>
      </c>
      <c r="C10">
        <v>1800</v>
      </c>
      <c r="D10">
        <v>1050</v>
      </c>
      <c r="E10">
        <f t="shared" si="0"/>
        <v>750</v>
      </c>
      <c r="F10" s="5">
        <f t="shared" si="1"/>
        <v>0.41666666666666669</v>
      </c>
      <c r="I10" t="s">
        <v>12</v>
      </c>
      <c r="J10">
        <f>SUMIF(A4:A33,"Laser Printer",C4:C33)</f>
        <v>12950</v>
      </c>
      <c r="K10">
        <f>SUMIF(A4:A33,"Laser Printer",E4:E33)</f>
        <v>3670</v>
      </c>
      <c r="L10" s="5">
        <f t="shared" si="4"/>
        <v>0.2833976833976834</v>
      </c>
      <c r="N10" t="s">
        <v>36</v>
      </c>
      <c r="O10" t="s">
        <v>37</v>
      </c>
      <c r="Q10"/>
    </row>
    <row r="11" spans="1:17" x14ac:dyDescent="0.3">
      <c r="A11" t="s">
        <v>12</v>
      </c>
      <c r="B11" t="s">
        <v>5</v>
      </c>
      <c r="C11">
        <v>12500</v>
      </c>
      <c r="D11">
        <v>9000</v>
      </c>
      <c r="E11">
        <f t="shared" si="0"/>
        <v>3500</v>
      </c>
      <c r="F11" s="5">
        <f t="shared" si="1"/>
        <v>0.28000000000000003</v>
      </c>
      <c r="I11" t="s">
        <v>13</v>
      </c>
      <c r="J11">
        <f>SUMIF(A4:A33,"External Hard Drive",C4:C33)</f>
        <v>6200</v>
      </c>
      <c r="K11">
        <f>SUMIF(A4:A33,"External Hard Drive",E4:E33)</f>
        <v>2000</v>
      </c>
      <c r="L11" s="5">
        <f t="shared" si="4"/>
        <v>0.32258064516129031</v>
      </c>
      <c r="N11" t="s">
        <v>38</v>
      </c>
      <c r="O11" t="str">
        <f t="shared" ref="O11:O16" si="8">_xlfn.XLOOKUP(MAX(J4:J28),J4:J28,I4:I28)</f>
        <v>Tablet</v>
      </c>
      <c r="Q11"/>
    </row>
    <row r="12" spans="1:17" x14ac:dyDescent="0.3">
      <c r="A12" t="s">
        <v>13</v>
      </c>
      <c r="B12" t="s">
        <v>5</v>
      </c>
      <c r="C12">
        <v>6200</v>
      </c>
      <c r="D12">
        <v>4200</v>
      </c>
      <c r="E12">
        <f t="shared" si="0"/>
        <v>2000</v>
      </c>
      <c r="F12" s="5">
        <f t="shared" si="1"/>
        <v>0.32258064516129031</v>
      </c>
      <c r="I12" t="s">
        <v>14</v>
      </c>
      <c r="J12">
        <f>SUMIF(A4:A33,"Webcam HD",C4:C33)</f>
        <v>2800</v>
      </c>
      <c r="K12">
        <f>SUMIF(A4:A33,"Webcam HD",E4:E33)</f>
        <v>1100</v>
      </c>
      <c r="L12" s="5">
        <f t="shared" si="4"/>
        <v>0.39285714285714285</v>
      </c>
      <c r="N12" t="s">
        <v>39</v>
      </c>
      <c r="O12" t="str">
        <f>_xlfn.XLOOKUP(MIN(J4:J28),J4:J28,I4:I28)</f>
        <v>Document Tray</v>
      </c>
      <c r="Q12"/>
    </row>
    <row r="13" spans="1:17" x14ac:dyDescent="0.3">
      <c r="A13" t="s">
        <v>14</v>
      </c>
      <c r="B13" t="s">
        <v>5</v>
      </c>
      <c r="C13">
        <v>2800</v>
      </c>
      <c r="D13">
        <v>1700</v>
      </c>
      <c r="E13">
        <f t="shared" si="0"/>
        <v>1100</v>
      </c>
      <c r="F13" s="5">
        <f t="shared" si="1"/>
        <v>0.39285714285714285</v>
      </c>
      <c r="I13" t="s">
        <v>15</v>
      </c>
      <c r="J13">
        <f>SUMIF(A4:A33,"Ballpoint Pen Pack",C4:C33)</f>
        <v>880</v>
      </c>
      <c r="K13">
        <f>SUMIF(A4:A33,"Ballpoint Pen Pack",E4:E33)</f>
        <v>350</v>
      </c>
      <c r="L13" s="5">
        <f t="shared" si="4"/>
        <v>0.39772727272727271</v>
      </c>
      <c r="N13" t="s">
        <v>40</v>
      </c>
      <c r="O13" t="str">
        <f>_xlfn.XLOOKUP(MAX(K4:K28),K4:K28,I4:I28)</f>
        <v>Conference Table</v>
      </c>
      <c r="Q13"/>
    </row>
    <row r="14" spans="1:17" x14ac:dyDescent="0.3">
      <c r="A14" t="s">
        <v>12</v>
      </c>
      <c r="B14" t="s">
        <v>4</v>
      </c>
      <c r="C14">
        <v>450</v>
      </c>
      <c r="D14">
        <v>280</v>
      </c>
      <c r="E14">
        <f t="shared" si="0"/>
        <v>170</v>
      </c>
      <c r="F14" s="5">
        <f t="shared" si="1"/>
        <v>0.37777777777777777</v>
      </c>
      <c r="I14" t="s">
        <v>16</v>
      </c>
      <c r="J14">
        <f>SUMIF(A4:A33,"Stapler Heavy Duty",C4:C33)</f>
        <v>850</v>
      </c>
      <c r="K14">
        <f>SUMIF(A4:A33,"Stapler Heavy Duty",E4:E33)</f>
        <v>330</v>
      </c>
      <c r="L14" s="5">
        <f t="shared" si="4"/>
        <v>0.38823529411764707</v>
      </c>
      <c r="N14" t="s">
        <v>41</v>
      </c>
      <c r="O14" t="str">
        <f>_xlfn.XLOOKUP(MIN(K4:K28),K4:K28,I4:I28)</f>
        <v>Calculator</v>
      </c>
      <c r="Q14"/>
    </row>
    <row r="15" spans="1:17" x14ac:dyDescent="0.3">
      <c r="A15" t="s">
        <v>15</v>
      </c>
      <c r="B15" t="s">
        <v>4</v>
      </c>
      <c r="C15">
        <v>320</v>
      </c>
      <c r="D15">
        <v>180</v>
      </c>
      <c r="E15">
        <f t="shared" si="0"/>
        <v>140</v>
      </c>
      <c r="F15" s="5">
        <f t="shared" si="1"/>
        <v>0.4375</v>
      </c>
      <c r="I15" t="s">
        <v>17</v>
      </c>
      <c r="J15">
        <f>SUMIF(A4:A33,"Whiteboard",C4:C33)</f>
        <v>2400</v>
      </c>
      <c r="K15">
        <f>SUMIF(A4:A33,"Whiteboard",E4:E33)</f>
        <v>850</v>
      </c>
      <c r="L15" s="5">
        <f t="shared" si="4"/>
        <v>0.35416666666666669</v>
      </c>
      <c r="N15" t="s">
        <v>42</v>
      </c>
      <c r="O15" t="str">
        <f>_xlfn.XLOOKUP(MAX(L4:L28),L4:L28,I4:I28)</f>
        <v>Desk Organizer</v>
      </c>
      <c r="Q15"/>
    </row>
    <row r="16" spans="1:17" x14ac:dyDescent="0.3">
      <c r="A16" t="s">
        <v>15</v>
      </c>
      <c r="B16" t="s">
        <v>4</v>
      </c>
      <c r="C16">
        <v>560</v>
      </c>
      <c r="D16">
        <v>350</v>
      </c>
      <c r="E16">
        <f t="shared" si="0"/>
        <v>210</v>
      </c>
      <c r="F16" s="5">
        <f t="shared" si="1"/>
        <v>0.375</v>
      </c>
      <c r="I16" t="s">
        <v>18</v>
      </c>
      <c r="J16">
        <f>SUMIF(A4:A33,"Office Table",C4:C33)</f>
        <v>11200</v>
      </c>
      <c r="K16">
        <f>SUMIF(A4:A33,"Office Table",E4:E33)</f>
        <v>4000</v>
      </c>
      <c r="L16" s="5">
        <f t="shared" si="4"/>
        <v>0.35714285714285715</v>
      </c>
      <c r="N16" t="s">
        <v>43</v>
      </c>
      <c r="O16" t="str">
        <f>_xlfn.XLOOKUP(MIN(L4:L28),L4:L28,I4:I28)</f>
        <v>Computer Monitor</v>
      </c>
      <c r="Q16"/>
    </row>
    <row r="17" spans="1:12" x14ac:dyDescent="0.3">
      <c r="A17" t="s">
        <v>16</v>
      </c>
      <c r="B17" t="s">
        <v>4</v>
      </c>
      <c r="C17">
        <v>850</v>
      </c>
      <c r="D17">
        <v>520</v>
      </c>
      <c r="E17">
        <f t="shared" si="0"/>
        <v>330</v>
      </c>
      <c r="F17" s="5">
        <f t="shared" si="1"/>
        <v>0.38823529411764707</v>
      </c>
      <c r="I17" t="s">
        <v>19</v>
      </c>
      <c r="J17">
        <f>SUMIF(A4:A33,"Bookshelf",C4:C33)</f>
        <v>6800</v>
      </c>
      <c r="K17">
        <f>SUMIF(A4:A33,"Bookshelf",E4:E33)</f>
        <v>2500</v>
      </c>
      <c r="L17" s="5">
        <f t="shared" si="4"/>
        <v>0.36764705882352944</v>
      </c>
    </row>
    <row r="18" spans="1:12" x14ac:dyDescent="0.3">
      <c r="A18" t="s">
        <v>17</v>
      </c>
      <c r="B18" t="s">
        <v>4</v>
      </c>
      <c r="C18">
        <v>2400</v>
      </c>
      <c r="D18">
        <v>1550</v>
      </c>
      <c r="E18">
        <f t="shared" si="0"/>
        <v>850</v>
      </c>
      <c r="F18" s="5">
        <f t="shared" si="1"/>
        <v>0.35416666666666669</v>
      </c>
      <c r="I18" t="s">
        <v>20</v>
      </c>
      <c r="J18">
        <f>SUMIF(A4:A33,"Computer Monitor",C4:C33)</f>
        <v>14500</v>
      </c>
      <c r="K18">
        <f>SUMIF(A4:A33,"Computer Monitor",E4:E33)</f>
        <v>4000</v>
      </c>
      <c r="L18" s="5">
        <f t="shared" si="4"/>
        <v>0.27586206896551724</v>
      </c>
    </row>
    <row r="19" spans="1:12" x14ac:dyDescent="0.3">
      <c r="A19" t="s">
        <v>18</v>
      </c>
      <c r="B19" t="s">
        <v>3</v>
      </c>
      <c r="C19">
        <v>11200</v>
      </c>
      <c r="D19">
        <v>7200</v>
      </c>
      <c r="E19">
        <f t="shared" si="0"/>
        <v>4000</v>
      </c>
      <c r="F19" s="5">
        <f t="shared" si="1"/>
        <v>0.35714285714285715</v>
      </c>
      <c r="I19" t="s">
        <v>21</v>
      </c>
      <c r="J19">
        <f>SUMIF(A4:A33,"Wireless Router",C4:C33)</f>
        <v>3600</v>
      </c>
      <c r="K19">
        <f>SUMIF(A4:A33,"Wireless Router",E4:E33)</f>
        <v>1300</v>
      </c>
      <c r="L19" s="5">
        <f t="shared" si="4"/>
        <v>0.3611111111111111</v>
      </c>
    </row>
    <row r="20" spans="1:12" x14ac:dyDescent="0.3">
      <c r="A20" t="s">
        <v>19</v>
      </c>
      <c r="B20" t="s">
        <v>3</v>
      </c>
      <c r="C20">
        <v>6800</v>
      </c>
      <c r="D20">
        <v>4300</v>
      </c>
      <c r="E20">
        <f t="shared" si="0"/>
        <v>2500</v>
      </c>
      <c r="F20" s="5">
        <f t="shared" si="1"/>
        <v>0.36764705882352944</v>
      </c>
      <c r="I20" t="s">
        <v>22</v>
      </c>
      <c r="J20">
        <f>SUMIF(A4:A33,"Power Strip",C4:C33)</f>
        <v>950</v>
      </c>
      <c r="K20">
        <f>SUMIF(A4:A33,"Power Strip",E4:E33)</f>
        <v>380</v>
      </c>
      <c r="L20" s="5">
        <f t="shared" si="4"/>
        <v>0.4</v>
      </c>
    </row>
    <row r="21" spans="1:12" x14ac:dyDescent="0.3">
      <c r="A21" t="s">
        <v>9</v>
      </c>
      <c r="B21" t="s">
        <v>3</v>
      </c>
      <c r="C21">
        <v>5900</v>
      </c>
      <c r="D21">
        <v>3800</v>
      </c>
      <c r="E21">
        <f t="shared" si="0"/>
        <v>2100</v>
      </c>
      <c r="F21" s="5">
        <f t="shared" si="1"/>
        <v>0.3559322033898305</v>
      </c>
      <c r="I21" t="s">
        <v>23</v>
      </c>
      <c r="J21">
        <f>SUMIF(A4:A33,"Calculator",C4:C33)</f>
        <v>650</v>
      </c>
      <c r="K21">
        <f>SUMIF(A4:A33,"Calculator",E4:E33)</f>
        <v>260</v>
      </c>
      <c r="L21" s="5">
        <f t="shared" si="4"/>
        <v>0.4</v>
      </c>
    </row>
    <row r="22" spans="1:12" x14ac:dyDescent="0.3">
      <c r="A22" t="s">
        <v>20</v>
      </c>
      <c r="B22" t="s">
        <v>5</v>
      </c>
      <c r="C22">
        <v>14500</v>
      </c>
      <c r="D22">
        <v>10500</v>
      </c>
      <c r="E22">
        <f t="shared" si="0"/>
        <v>4000</v>
      </c>
      <c r="F22" s="5">
        <f t="shared" si="1"/>
        <v>0.27586206896551724</v>
      </c>
      <c r="I22" t="s">
        <v>24</v>
      </c>
      <c r="J22">
        <f>SUMIF(A4:A33,"Printer Paper Box",C4:C33)</f>
        <v>1250</v>
      </c>
      <c r="K22">
        <f>SUMIF(A4:A33,"Printer Paper Box",E4:E33)</f>
        <v>450</v>
      </c>
      <c r="L22" s="5">
        <f t="shared" si="4"/>
        <v>0.36</v>
      </c>
    </row>
    <row r="23" spans="1:12" x14ac:dyDescent="0.3">
      <c r="A23" t="s">
        <v>21</v>
      </c>
      <c r="B23" t="s">
        <v>5</v>
      </c>
      <c r="C23">
        <v>3600</v>
      </c>
      <c r="D23">
        <v>2300</v>
      </c>
      <c r="E23">
        <f t="shared" si="0"/>
        <v>1300</v>
      </c>
      <c r="F23" s="5">
        <f t="shared" si="1"/>
        <v>0.3611111111111111</v>
      </c>
      <c r="I23" t="s">
        <v>25</v>
      </c>
      <c r="J23">
        <f>SUMIF(A4:A33,"Conference Table",C4:C33)</f>
        <v>18500</v>
      </c>
      <c r="K23">
        <f>SUMIF(A4:A33,"Conference Table",E4:E33)</f>
        <v>6000</v>
      </c>
      <c r="L23" s="5">
        <f t="shared" si="4"/>
        <v>0.32432432432432434</v>
      </c>
    </row>
    <row r="24" spans="1:12" x14ac:dyDescent="0.3">
      <c r="A24" t="s">
        <v>22</v>
      </c>
      <c r="B24" t="s">
        <v>5</v>
      </c>
      <c r="C24">
        <v>950</v>
      </c>
      <c r="D24">
        <v>570</v>
      </c>
      <c r="E24">
        <f t="shared" si="0"/>
        <v>380</v>
      </c>
      <c r="F24" s="5">
        <f t="shared" si="1"/>
        <v>0.4</v>
      </c>
      <c r="I24" t="s">
        <v>26</v>
      </c>
      <c r="J24">
        <f>SUMIF(A4:A33,"Visitor Chair",C4:C33)</f>
        <v>3200</v>
      </c>
      <c r="K24">
        <f>SUMIF(A4:A33,"Visitor Chair",E4:E33)</f>
        <v>1150</v>
      </c>
      <c r="L24" s="5">
        <f t="shared" si="4"/>
        <v>0.359375</v>
      </c>
    </row>
    <row r="25" spans="1:12" x14ac:dyDescent="0.3">
      <c r="A25" t="s">
        <v>23</v>
      </c>
      <c r="B25" t="s">
        <v>4</v>
      </c>
      <c r="C25">
        <v>650</v>
      </c>
      <c r="D25">
        <v>390</v>
      </c>
      <c r="E25">
        <f t="shared" si="0"/>
        <v>260</v>
      </c>
      <c r="F25" s="5">
        <f t="shared" si="1"/>
        <v>0.4</v>
      </c>
      <c r="I25" t="s">
        <v>28</v>
      </c>
      <c r="J25">
        <f>SUMIF(A4:A33,"Mechanical Keyboard",C4:C33)</f>
        <v>4200</v>
      </c>
      <c r="K25">
        <f>SUMIF(A4:A33,"Mechanical Keyboard",E4:E33)</f>
        <v>1500</v>
      </c>
      <c r="L25" s="5">
        <f t="shared" si="4"/>
        <v>0.35714285714285715</v>
      </c>
    </row>
    <row r="26" spans="1:12" x14ac:dyDescent="0.3">
      <c r="A26" t="s">
        <v>24</v>
      </c>
      <c r="B26" t="s">
        <v>4</v>
      </c>
      <c r="C26">
        <v>1250</v>
      </c>
      <c r="D26">
        <v>800</v>
      </c>
      <c r="E26">
        <f t="shared" si="0"/>
        <v>450</v>
      </c>
      <c r="F26" s="5">
        <f t="shared" si="1"/>
        <v>0.36</v>
      </c>
      <c r="I26" t="s">
        <v>29</v>
      </c>
      <c r="J26">
        <f>SUMIF(A4:A33,"Desk Organizer",C4:C33)</f>
        <v>780</v>
      </c>
      <c r="K26">
        <f>SUMIF(A4:A33,"Desk Organizer",E4:E33)</f>
        <v>330</v>
      </c>
      <c r="L26" s="5">
        <f t="shared" si="4"/>
        <v>0.42307692307692307</v>
      </c>
    </row>
    <row r="27" spans="1:12" x14ac:dyDescent="0.3">
      <c r="A27" t="s">
        <v>25</v>
      </c>
      <c r="B27" t="s">
        <v>3</v>
      </c>
      <c r="C27">
        <v>18500</v>
      </c>
      <c r="D27">
        <v>12500</v>
      </c>
      <c r="E27">
        <f t="shared" si="0"/>
        <v>6000</v>
      </c>
      <c r="F27" s="5">
        <f t="shared" si="1"/>
        <v>0.32432432432432434</v>
      </c>
      <c r="I27" t="s">
        <v>30</v>
      </c>
      <c r="J27">
        <f>SUMIF(A4:A33,"Pen Drive 64GB",C4:C33)</f>
        <v>1100</v>
      </c>
      <c r="K27">
        <f>SUMIF(A4:A33,"Pen Drive 64GB",E4:E33)</f>
        <v>450</v>
      </c>
      <c r="L27" s="5">
        <f t="shared" si="4"/>
        <v>0.40909090909090912</v>
      </c>
    </row>
    <row r="28" spans="1:12" x14ac:dyDescent="0.3">
      <c r="A28" t="s">
        <v>26</v>
      </c>
      <c r="B28" t="s">
        <v>3</v>
      </c>
      <c r="C28">
        <v>3200</v>
      </c>
      <c r="D28">
        <v>2050</v>
      </c>
      <c r="E28">
        <f t="shared" si="0"/>
        <v>1150</v>
      </c>
      <c r="F28" s="5">
        <f t="shared" si="1"/>
        <v>0.359375</v>
      </c>
      <c r="I28" t="s">
        <v>31</v>
      </c>
      <c r="J28">
        <f>SUMIF(A4:A33,"Document Tray",C4:C33)</f>
        <v>620</v>
      </c>
      <c r="K28">
        <f>SUMIF(A4:A33,"Document Tray",E4:E33)</f>
        <v>260</v>
      </c>
      <c r="L28" s="5">
        <f t="shared" si="4"/>
        <v>0.41935483870967744</v>
      </c>
    </row>
    <row r="29" spans="1:12" x14ac:dyDescent="0.3">
      <c r="A29" t="s">
        <v>27</v>
      </c>
      <c r="B29" t="s">
        <v>5</v>
      </c>
      <c r="C29">
        <v>18500</v>
      </c>
      <c r="D29">
        <v>13500</v>
      </c>
      <c r="E29">
        <f t="shared" si="0"/>
        <v>5000</v>
      </c>
      <c r="F29" s="5">
        <f t="shared" si="1"/>
        <v>0.27027027027027029</v>
      </c>
    </row>
    <row r="30" spans="1:12" x14ac:dyDescent="0.3">
      <c r="A30" t="s">
        <v>28</v>
      </c>
      <c r="B30" t="s">
        <v>5</v>
      </c>
      <c r="C30">
        <v>4200</v>
      </c>
      <c r="D30">
        <v>2700</v>
      </c>
      <c r="E30">
        <f t="shared" si="0"/>
        <v>1500</v>
      </c>
      <c r="F30" s="5">
        <f t="shared" si="1"/>
        <v>0.35714285714285715</v>
      </c>
    </row>
    <row r="31" spans="1:12" x14ac:dyDescent="0.3">
      <c r="A31" t="s">
        <v>29</v>
      </c>
      <c r="B31" t="s">
        <v>4</v>
      </c>
      <c r="C31">
        <v>780</v>
      </c>
      <c r="D31">
        <v>450</v>
      </c>
      <c r="E31">
        <f t="shared" si="0"/>
        <v>330</v>
      </c>
      <c r="F31" s="5">
        <f t="shared" si="1"/>
        <v>0.42307692307692307</v>
      </c>
    </row>
    <row r="32" spans="1:12" x14ac:dyDescent="0.3">
      <c r="A32" t="s">
        <v>30</v>
      </c>
      <c r="B32" t="s">
        <v>5</v>
      </c>
      <c r="C32">
        <v>1100</v>
      </c>
      <c r="D32">
        <v>650</v>
      </c>
      <c r="E32">
        <f t="shared" si="0"/>
        <v>450</v>
      </c>
      <c r="F32" s="5">
        <f t="shared" si="1"/>
        <v>0.40909090909090912</v>
      </c>
    </row>
    <row r="33" spans="1:6" x14ac:dyDescent="0.3">
      <c r="A33" t="s">
        <v>31</v>
      </c>
      <c r="B33" t="s">
        <v>4</v>
      </c>
      <c r="C33">
        <v>620</v>
      </c>
      <c r="D33">
        <v>360</v>
      </c>
      <c r="E33">
        <f t="shared" si="0"/>
        <v>260</v>
      </c>
      <c r="F33" s="5">
        <f t="shared" si="1"/>
        <v>0.41935483870967744</v>
      </c>
    </row>
  </sheetData>
  <phoneticPr fontId="3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2026-09-25T13:49:04Z</dcterms:modified>
</cp:coreProperties>
</file>