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0FDD4ACB-6179-43E2-8A11-440415CE4AF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sk-16" sheetId="7" r:id="rId1"/>
    <sheet name="Profitability Analysis" sheetId="2" r:id="rId2"/>
    <sheet name="Regional Profitability Analysis" sheetId="3" r:id="rId3"/>
    <sheet name="Product-level Profitability Ana" sheetId="4" r:id="rId4"/>
    <sheet name="Shipping &amp; Returns Analysis" sheetId="5" r:id="rId5"/>
  </sheets>
  <externalReferences>
    <externalReference r:id="rId6"/>
  </externalReferences>
  <definedNames>
    <definedName name="ExternalData_1" localSheetId="0" hidden="1">'task-16'!$A$3:$Q$136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D9" i="4"/>
  <c r="D11" i="4"/>
  <c r="D8" i="4"/>
  <c r="D12" i="4"/>
  <c r="D10" i="4"/>
  <c r="D7" i="4"/>
  <c r="D4" i="4"/>
  <c r="D13" i="4"/>
  <c r="D6" i="4"/>
  <c r="C5" i="4"/>
  <c r="C9" i="4"/>
  <c r="C11" i="4"/>
  <c r="C8" i="4"/>
  <c r="C12" i="4"/>
  <c r="C10" i="4"/>
  <c r="C7" i="4"/>
  <c r="C4" i="4"/>
  <c r="C13" i="4"/>
  <c r="C6" i="4"/>
  <c r="B5" i="4"/>
  <c r="E5" i="4" s="1"/>
  <c r="B9" i="4"/>
  <c r="B11" i="4"/>
  <c r="E11" i="4" s="1"/>
  <c r="B8" i="4"/>
  <c r="B12" i="4"/>
  <c r="B10" i="4"/>
  <c r="B7" i="4"/>
  <c r="E7" i="4" s="1"/>
  <c r="B4" i="4"/>
  <c r="B13" i="4"/>
  <c r="B6" i="4"/>
  <c r="D7" i="3"/>
  <c r="D6" i="3"/>
  <c r="D5" i="3"/>
  <c r="D4" i="3"/>
  <c r="C7" i="3"/>
  <c r="C6" i="3"/>
  <c r="C5" i="3"/>
  <c r="C4" i="3"/>
  <c r="B7" i="3"/>
  <c r="B6" i="3"/>
  <c r="B5" i="3"/>
  <c r="B4" i="3"/>
  <c r="D16" i="2"/>
  <c r="D15" i="2"/>
  <c r="D14" i="2"/>
  <c r="C16" i="2"/>
  <c r="C15" i="2"/>
  <c r="C14" i="2"/>
  <c r="B16" i="2"/>
  <c r="B15" i="2"/>
  <c r="B14" i="2"/>
  <c r="B9" i="2"/>
  <c r="B8" i="2"/>
  <c r="B7" i="2"/>
  <c r="B5" i="2"/>
  <c r="B4" i="2"/>
  <c r="B6" i="2"/>
  <c r="E9" i="4" l="1"/>
  <c r="E8" i="4"/>
  <c r="E12" i="4"/>
  <c r="E10" i="4"/>
  <c r="E4" i="4"/>
  <c r="E13" i="4"/>
  <c r="E6" i="4"/>
  <c r="E7" i="3"/>
  <c r="E6" i="3"/>
  <c r="E5" i="3"/>
  <c r="E16" i="2"/>
  <c r="E15" i="2"/>
  <c r="E4" i="3"/>
  <c r="E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71A5DB-ED46-41FB-B489-1B6DA14DE34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" xr16:uid="{58E4F6F2-3C31-4165-8984-6F54BC721683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3" xr16:uid="{95976677-602B-4A5E-A9CC-37077D1B6C82}" keepAlive="1" name="Query - task-16" description="Connection to the 'task-16' query in the workbook." type="5" refreshedVersion="8" background="1" saveData="1">
    <dbPr connection="Provider=Microsoft.Mashup.OleDb.1;Data Source=$Workbook$;Location=task-16;Extended Properties=&quot;&quot;" command="SELECT * FROM [task-16]"/>
  </connection>
  <connection id="4" xr16:uid="{F2EC6145-5AAA-4602-AC44-71A6F3833676}" keepAlive="1" name="Query - task-16 (2)" description="Connection to the 'task-16 (2)' query in the workbook." type="5" refreshedVersion="8" background="1" saveData="1">
    <dbPr connection="Provider=Microsoft.Mashup.OleDb.1;Data Source=$Workbook$;Location=&quot;task-16 (2)&quot;;Extended Properties=&quot;&quot;" command="SELECT * FROM [task-16 (2)]"/>
  </connection>
  <connection id="5" xr16:uid="{01389858-8725-4B2D-AEBE-6DD699C39A2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D028DD63-6C55-4757-854A-80F89FA9079B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</connections>
</file>

<file path=xl/sharedStrings.xml><?xml version="1.0" encoding="utf-8"?>
<sst xmlns="http://schemas.openxmlformats.org/spreadsheetml/2006/main" count="997" uniqueCount="257">
  <si>
    <t>Order ID</t>
  </si>
  <si>
    <t>Order Date</t>
  </si>
  <si>
    <t>Customer Name</t>
  </si>
  <si>
    <t>Product</t>
  </si>
  <si>
    <t>Category</t>
  </si>
  <si>
    <t>Region</t>
  </si>
  <si>
    <t>Quantity</t>
  </si>
  <si>
    <t>List Price</t>
  </si>
  <si>
    <t>Discount</t>
  </si>
  <si>
    <t>Unit Price</t>
  </si>
  <si>
    <t>Sales</t>
  </si>
  <si>
    <t>Cost</t>
  </si>
  <si>
    <t>Profit</t>
  </si>
  <si>
    <t>Salesperson</t>
  </si>
  <si>
    <t>Month</t>
  </si>
  <si>
    <t>Month Number</t>
  </si>
  <si>
    <t>Profit Margin %</t>
  </si>
  <si>
    <t>ORD-1065</t>
  </si>
  <si>
    <t>Nikhil Joshi</t>
  </si>
  <si>
    <t>Monitor</t>
  </si>
  <si>
    <t>Electronics</t>
  </si>
  <si>
    <t>East</t>
  </si>
  <si>
    <t>Diya</t>
  </si>
  <si>
    <t>Apr</t>
  </si>
  <si>
    <t>ORD-1103</t>
  </si>
  <si>
    <t>Komal Shah</t>
  </si>
  <si>
    <t>Mouse</t>
  </si>
  <si>
    <t>Accessories</t>
  </si>
  <si>
    <t>West</t>
  </si>
  <si>
    <t>Meera</t>
  </si>
  <si>
    <t>ORD-1113</t>
  </si>
  <si>
    <t>Jay Joshi</t>
  </si>
  <si>
    <t>Laptop</t>
  </si>
  <si>
    <t>South</t>
  </si>
  <si>
    <t>ORD-1183</t>
  </si>
  <si>
    <t>Vivek Shah</t>
  </si>
  <si>
    <t>Desk</t>
  </si>
  <si>
    <t>Furniture</t>
  </si>
  <si>
    <t>North</t>
  </si>
  <si>
    <t>Aarav</t>
  </si>
  <si>
    <t>ORD-1112</t>
  </si>
  <si>
    <t>Manav Patel</t>
  </si>
  <si>
    <t>Backpack</t>
  </si>
  <si>
    <t>ORD-1096</t>
  </si>
  <si>
    <t>Yash Shah</t>
  </si>
  <si>
    <t>Keyboard</t>
  </si>
  <si>
    <t>ORD-1077</t>
  </si>
  <si>
    <t>Meera Shah</t>
  </si>
  <si>
    <t>ORD-1165</t>
  </si>
  <si>
    <t>Rohan Desai</t>
  </si>
  <si>
    <t>Printer</t>
  </si>
  <si>
    <t>Kabir</t>
  </si>
  <si>
    <t>ORD-1144</t>
  </si>
  <si>
    <t>Rupal Joshi</t>
  </si>
  <si>
    <t>ORD-1203</t>
  </si>
  <si>
    <t>Kavya Patel</t>
  </si>
  <si>
    <t>ORD-1015</t>
  </si>
  <si>
    <t>Smit Mehta</t>
  </si>
  <si>
    <t>Arjun</t>
  </si>
  <si>
    <t>ORD-1066</t>
  </si>
  <si>
    <t>Krish Joshi</t>
  </si>
  <si>
    <t>Riya</t>
  </si>
  <si>
    <t>ORD-1075</t>
  </si>
  <si>
    <t>ORD-1010</t>
  </si>
  <si>
    <t>Vatsal Desai</t>
  </si>
  <si>
    <t>ORD-1056</t>
  </si>
  <si>
    <t>Riddhi Mehta</t>
  </si>
  <si>
    <t>ORD-1221</t>
  </si>
  <si>
    <t>ORD-1040</t>
  </si>
  <si>
    <t>Akash Patel</t>
  </si>
  <si>
    <t>Headphones</t>
  </si>
  <si>
    <t>ORD-1102</t>
  </si>
  <si>
    <t>Nisha Joshi</t>
  </si>
  <si>
    <t>ORD-1045</t>
  </si>
  <si>
    <t>Darsh Shah</t>
  </si>
  <si>
    <t>ORD-1022</t>
  </si>
  <si>
    <t>Sneha Shah</t>
  </si>
  <si>
    <t>ORD-1027</t>
  </si>
  <si>
    <t>Amit Patel</t>
  </si>
  <si>
    <t>ORD-1069</t>
  </si>
  <si>
    <t>Mitali Shah</t>
  </si>
  <si>
    <t>ORD-1114</t>
  </si>
  <si>
    <t>Abhishek Mehta</t>
  </si>
  <si>
    <t>ORD-1064</t>
  </si>
  <si>
    <t>Ankit Mehta</t>
  </si>
  <si>
    <t>ORD-1180</t>
  </si>
  <si>
    <t>Tushar Patel</t>
  </si>
  <si>
    <t>ORD-1087</t>
  </si>
  <si>
    <t>Varun Patel</t>
  </si>
  <si>
    <t>ORD-1148</t>
  </si>
  <si>
    <t>ORD-1062</t>
  </si>
  <si>
    <t>ORD-1175</t>
  </si>
  <si>
    <t>Office Chair</t>
  </si>
  <si>
    <t>ORD-1008</t>
  </si>
  <si>
    <t>ORD-1017</t>
  </si>
  <si>
    <t>Pooja Mehta</t>
  </si>
  <si>
    <t>ORD-1196</t>
  </si>
  <si>
    <t>Vidhi Shah</t>
  </si>
  <si>
    <t>Feb</t>
  </si>
  <si>
    <t>ORD-1169</t>
  </si>
  <si>
    <t>Aaradhya Joshi</t>
  </si>
  <si>
    <t>Smartphone</t>
  </si>
  <si>
    <t>ORD-1123</t>
  </si>
  <si>
    <t>ORD-1225</t>
  </si>
  <si>
    <t>ORD-1162</t>
  </si>
  <si>
    <t>Riya Mehta</t>
  </si>
  <si>
    <t>ORD-1184</t>
  </si>
  <si>
    <t>Yug Desai</t>
  </si>
  <si>
    <t>ORD-1246</t>
  </si>
  <si>
    <t>Isha Joshi</t>
  </si>
  <si>
    <t>ORD-1125</t>
  </si>
  <si>
    <t>ORD-1089</t>
  </si>
  <si>
    <t>ORD-1194</t>
  </si>
  <si>
    <t>Khushi Mehta</t>
  </si>
  <si>
    <t>ORD-1218</t>
  </si>
  <si>
    <t>Nandini Shah</t>
  </si>
  <si>
    <t>ORD-1006</t>
  </si>
  <si>
    <t>Nirav Desai</t>
  </si>
  <si>
    <t>ORD-1235</t>
  </si>
  <si>
    <t>ORD-1204</t>
  </si>
  <si>
    <t>ORD-1213</t>
  </si>
  <si>
    <t>ORD-1185</t>
  </si>
  <si>
    <t>ORD-1088</t>
  </si>
  <si>
    <t>Hardik Patel</t>
  </si>
  <si>
    <t>ORD-1209</t>
  </si>
  <si>
    <t>ORD-1241</t>
  </si>
  <si>
    <t>Meet Desai</t>
  </si>
  <si>
    <t>ORD-1152</t>
  </si>
  <si>
    <t>ORD-1205</t>
  </si>
  <si>
    <t>Karan Desai</t>
  </si>
  <si>
    <t>ORD-1160</t>
  </si>
  <si>
    <t>Jatin Desai</t>
  </si>
  <si>
    <t>ORD-1073</t>
  </si>
  <si>
    <t>ORD-1048</t>
  </si>
  <si>
    <t>Anjali Desai</t>
  </si>
  <si>
    <t>ORD-1067</t>
  </si>
  <si>
    <t>Darshil Desai</t>
  </si>
  <si>
    <t>ORD-1083</t>
  </si>
  <si>
    <t>Mansi Patel</t>
  </si>
  <si>
    <t>Jan</t>
  </si>
  <si>
    <t>ORD-1238</t>
  </si>
  <si>
    <t>Chirag Mehta</t>
  </si>
  <si>
    <t>ORD-1198</t>
  </si>
  <si>
    <t>ORD-1206</t>
  </si>
  <si>
    <t>ORD-1079</t>
  </si>
  <si>
    <t>ORD-1159</t>
  </si>
  <si>
    <t>ORD-1154</t>
  </si>
  <si>
    <t>Vishal Mehta</t>
  </si>
  <si>
    <t>ORD-1128</t>
  </si>
  <si>
    <t>Aditi Joshi</t>
  </si>
  <si>
    <t>ORD-1122</t>
  </si>
  <si>
    <t>ORD-1118</t>
  </si>
  <si>
    <t>ORD-1181</t>
  </si>
  <si>
    <t>Arjun Mehta</t>
  </si>
  <si>
    <t>ORD-1201</t>
  </si>
  <si>
    <t>Raj Desai</t>
  </si>
  <si>
    <t>ORD-1143</t>
  </si>
  <si>
    <t>ORD-1055</t>
  </si>
  <si>
    <t>ORD-1173</t>
  </si>
  <si>
    <t>ORD-1216</t>
  </si>
  <si>
    <t>Jinal Desai</t>
  </si>
  <si>
    <t>ORD-1031</t>
  </si>
  <si>
    <t>ORD-1220</t>
  </si>
  <si>
    <t>ORD-1028</t>
  </si>
  <si>
    <t>Kunal Mehta</t>
  </si>
  <si>
    <t>ORD-1227</t>
  </si>
  <si>
    <t>Bhavya Shah</t>
  </si>
  <si>
    <t>ORD-1082</t>
  </si>
  <si>
    <t>ORD-1167</t>
  </si>
  <si>
    <t>Neha Shah</t>
  </si>
  <si>
    <t>ORD-1049</t>
  </si>
  <si>
    <t>Mar</t>
  </si>
  <si>
    <t>ORD-1042</t>
  </si>
  <si>
    <t>ORD-1228</t>
  </si>
  <si>
    <t>Rahul Mehta</t>
  </si>
  <si>
    <t>ORD-1136</t>
  </si>
  <si>
    <t>ORD-1035</t>
  </si>
  <si>
    <t>ORD-1187</t>
  </si>
  <si>
    <t>ORD-1121</t>
  </si>
  <si>
    <t>Maulik Patel</t>
  </si>
  <si>
    <t>ORD-1207</t>
  </si>
  <si>
    <t>ORD-1063</t>
  </si>
  <si>
    <t>ORD-1188</t>
  </si>
  <si>
    <t>ORD-1126</t>
  </si>
  <si>
    <t>Palak Joshi</t>
  </si>
  <si>
    <t>ORD-1023</t>
  </si>
  <si>
    <t>ORD-1009</t>
  </si>
  <si>
    <t>Heena Joshi</t>
  </si>
  <si>
    <t>ORD-1171</t>
  </si>
  <si>
    <t>ORD-1091</t>
  </si>
  <si>
    <t>ORD-1129</t>
  </si>
  <si>
    <t>ORD-1193</t>
  </si>
  <si>
    <t>ORD-1094</t>
  </si>
  <si>
    <t>Bhavin Desai</t>
  </si>
  <si>
    <t>ORD-1013</t>
  </si>
  <si>
    <t>Krupa Shah</t>
  </si>
  <si>
    <t>ORD-1248</t>
  </si>
  <si>
    <t>Ronak Patel</t>
  </si>
  <si>
    <t>ORD-1138</t>
  </si>
  <si>
    <t>ORD-1050</t>
  </si>
  <si>
    <t>Aarav Patel</t>
  </si>
  <si>
    <t>ORD-1230</t>
  </si>
  <si>
    <t>ORD-1190</t>
  </si>
  <si>
    <t>ORD-1014</t>
  </si>
  <si>
    <t>ORD-1229</t>
  </si>
  <si>
    <t>May</t>
  </si>
  <si>
    <t>ORD-1060</t>
  </si>
  <si>
    <t>Vraj Desai</t>
  </si>
  <si>
    <t>ORD-1250</t>
  </si>
  <si>
    <t>ORD-1021</t>
  </si>
  <si>
    <t>ORD-1219</t>
  </si>
  <si>
    <t>ORD-1240</t>
  </si>
  <si>
    <t>ORD-1151</t>
  </si>
  <si>
    <t>ORD-1004</t>
  </si>
  <si>
    <t>Parth Joshi</t>
  </si>
  <si>
    <t>ORD-1046</t>
  </si>
  <si>
    <t>Diya Patel</t>
  </si>
  <si>
    <t>ORD-1223</t>
  </si>
  <si>
    <t>ORD-1095</t>
  </si>
  <si>
    <t>Shreya Joshi</t>
  </si>
  <si>
    <t>ORD-1164</t>
  </si>
  <si>
    <t>ORD-1236</t>
  </si>
  <si>
    <t>ORD-1020</t>
  </si>
  <si>
    <t>ORD-1147</t>
  </si>
  <si>
    <t>ORD-1249</t>
  </si>
  <si>
    <t>Mihir Patel</t>
  </si>
  <si>
    <t>ORD-1090</t>
  </si>
  <si>
    <t>ORD-1200</t>
  </si>
  <si>
    <t>ORD-1007</t>
  </si>
  <si>
    <t>ORD-1208</t>
  </si>
  <si>
    <t>ORD-1232</t>
  </si>
  <si>
    <t>ORD-1179</t>
  </si>
  <si>
    <t>ORD-1140</t>
  </si>
  <si>
    <t>ORD-1018</t>
  </si>
  <si>
    <t>Hetal Shah</t>
  </si>
  <si>
    <t>ORD-1130</t>
  </si>
  <si>
    <t>Priya Joshi</t>
  </si>
  <si>
    <t>ORD-1139</t>
  </si>
  <si>
    <t>Jaydeep Mehta</t>
  </si>
  <si>
    <t>ORD-1097</t>
  </si>
  <si>
    <t>ORD-1071</t>
  </si>
  <si>
    <t>ORD-1119</t>
  </si>
  <si>
    <t>ORD-1109</t>
  </si>
  <si>
    <t>Metric</t>
  </si>
  <si>
    <t>Value</t>
  </si>
  <si>
    <t>Total Revenue</t>
  </si>
  <si>
    <t>Total Cost</t>
  </si>
  <si>
    <t>Total Discount</t>
  </si>
  <si>
    <t>Total Profit</t>
  </si>
  <si>
    <t>Revenue</t>
  </si>
  <si>
    <t>Discount as % of Revenue</t>
  </si>
  <si>
    <t>Availability</t>
  </si>
  <si>
    <t>Shipping Cost</t>
  </si>
  <si>
    <t>Returns</t>
  </si>
  <si>
    <t>Return Cost/Impact</t>
  </si>
  <si>
    <t>Not Available</t>
  </si>
  <si>
    <r>
      <rPr>
        <b/>
        <sz val="11"/>
        <color theme="1"/>
        <rFont val="Calibri"/>
        <family val="2"/>
        <scheme val="minor"/>
      </rPr>
      <t xml:space="preserve">Note : </t>
    </r>
    <r>
      <rPr>
        <sz val="11"/>
        <color theme="1"/>
        <rFont val="Calibri"/>
        <family val="2"/>
        <scheme val="minor"/>
      </rPr>
      <t>Shipping Cost and Returns data are not available in the source dataset.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</si>
</sst>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0" fontId="0" fillId="0" borderId="0" xfId="1" applyNumberFormat="1" applyFont="1"/>
    <xf numFmtId="22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10" fontId="0" fillId="0" borderId="0" xfId="1" applyNumberFormat="1" applyFont="1" applyBorder="1"/>
    <xf numFmtId="9" fontId="0" fillId="0" borderId="0" xfId="1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Percent" xfId="1" builtinId="5"/>
  </cellStyles>
  <dxfs count="34">
    <dxf>
      <numFmt numFmtId="164" formatCode="_ [$₹-4009]\ * #,##0.00_ ;_ [$₹-4009]\ * \-#,##0.00_ ;_ [$₹-4009]\ * &quot;-&quot;??_ ;_ @_ "/>
    </dxf>
    <dxf>
      <numFmt numFmtId="14" formatCode="0.00%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border diagonalUp="0" diagonalDown="0">
        <left/>
        <right/>
        <top/>
        <bottom style="thin">
          <color indexed="64"/>
        </bottom>
      </border>
    </dxf>
    <dxf>
      <font>
        <b/>
      </font>
    </dxf>
    <dxf>
      <numFmt numFmtId="14" formatCode="0.00%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border diagonalUp="0" diagonalDown="0">
        <left/>
        <right/>
        <top/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border diagonalUp="0" diagonalDown="0">
        <left/>
        <right/>
        <top/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0" formatCode="General"/>
    </dxf>
    <dxf>
      <border diagonalUp="0" diagonalDown="0">
        <left/>
        <right/>
        <top/>
        <bottom style="thin">
          <color indexed="64"/>
        </bottom>
      </border>
    </dxf>
    <dxf>
      <numFmt numFmtId="164" formatCode="_ [$₹-4009]\ * #,##0.00_ ;_ [$₹-4009]\ * \-#,##0.00_ ;_ [$₹-4009]\ * &quot;-&quot;??_ ;_ @_ "/>
    </dxf>
    <dxf>
      <border diagonalUp="0" diagonalDown="0">
        <left/>
        <right/>
        <top/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Category Profitability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'Profitability Analysis'!$B$13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'Profitability Analysis'!$A$14:$A$16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Furniture</c:v>
                </c:pt>
              </c:strCache>
            </c:strRef>
          </c:cat>
          <c:val>
            <c:numRef>
              <c:f>'Profitability Analysis'!$B$14:$B$16</c:f>
              <c:numCache>
                <c:formatCode>_ [$₹-4009]\ * #,##0.00_ ;_ [$₹-4009]\ * \-#,##0.00_ ;_ [$₹-4009]\ * "-"??_ ;_ @_ </c:formatCode>
                <c:ptCount val="3"/>
                <c:pt idx="0">
                  <c:v>4042950</c:v>
                </c:pt>
                <c:pt idx="1">
                  <c:v>257150</c:v>
                </c:pt>
                <c:pt idx="2">
                  <c:v>636250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2-4133-9CB6-A49528824A3A}"/>
            </c:ext>
          </c:extLst>
        </c:ser>
        <c:ser>
          <c:idx val="1"/>
          <c:order val="1"/>
          <c:tx>
            <c:strRef>
              <c:f>'Profitability Analysis'!$C$13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'Profitability Analysis'!$A$14:$A$16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Furniture</c:v>
                </c:pt>
              </c:strCache>
            </c:strRef>
          </c:cat>
          <c:val>
            <c:numRef>
              <c:f>'Profitability Analysis'!$C$14:$C$16</c:f>
              <c:numCache>
                <c:formatCode>_ [$₹-4009]\ * #,##0.00_ ;_ [$₹-4009]\ * \-#,##0.00_ ;_ [$₹-4009]\ * "-"??_ ;_ @_ </c:formatCode>
                <c:ptCount val="3"/>
                <c:pt idx="0">
                  <c:v>2863859.8800000004</c:v>
                </c:pt>
                <c:pt idx="1">
                  <c:v>184304.14000000004</c:v>
                </c:pt>
                <c:pt idx="2">
                  <c:v>452826.65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32-4133-9CB6-A49528824A3A}"/>
            </c:ext>
          </c:extLst>
        </c:ser>
        <c:ser>
          <c:idx val="2"/>
          <c:order val="2"/>
          <c:tx>
            <c:strRef>
              <c:f>'Profitability Analysis'!$D$13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'Profitability Analysis'!$A$14:$A$16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Furniture</c:v>
                </c:pt>
              </c:strCache>
            </c:strRef>
          </c:cat>
          <c:val>
            <c:numRef>
              <c:f>'Profitability Analysis'!$D$14:$D$16</c:f>
              <c:numCache>
                <c:formatCode>_ [$₹-4009]\ * #,##0.00_ ;_ [$₹-4009]\ * \-#,##0.00_ ;_ [$₹-4009]\ * "-"??_ ;_ @_ </c:formatCode>
                <c:ptCount val="3"/>
                <c:pt idx="0">
                  <c:v>1179090.1199999999</c:v>
                </c:pt>
                <c:pt idx="1">
                  <c:v>72845.860000000015</c:v>
                </c:pt>
                <c:pt idx="2">
                  <c:v>183423.35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32-4133-9CB6-A49528824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2389888"/>
        <c:axId val="102629391"/>
      </c:barChart>
      <c:catAx>
        <c:axId val="198238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9391"/>
        <c:crosses val="autoZero"/>
        <c:auto val="1"/>
        <c:lblAlgn val="ctr"/>
        <c:lblOffset val="100"/>
        <c:noMultiLvlLbl val="0"/>
      </c:catAx>
      <c:valAx>
        <c:axId val="10262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Regional Profitability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Profitability Analysis'!$B$3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'Regional Profitability Analysis'!$A$4:$A$7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'Regional Profitability Analysis'!$B$4:$B$7</c:f>
              <c:numCache>
                <c:formatCode>_ [$₹-4009]\ * #,##0.00_ ;_ [$₹-4009]\ * \-#,##0.00_ ;_ [$₹-4009]\ * "-"??_ ;_ @_ </c:formatCode>
                <c:ptCount val="4"/>
                <c:pt idx="0">
                  <c:v>1353405</c:v>
                </c:pt>
                <c:pt idx="1">
                  <c:v>728850</c:v>
                </c:pt>
                <c:pt idx="2">
                  <c:v>1459310</c:v>
                </c:pt>
                <c:pt idx="3">
                  <c:v>1394785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3-4044-AA86-AD25428CE5B8}"/>
            </c:ext>
          </c:extLst>
        </c:ser>
        <c:ser>
          <c:idx val="1"/>
          <c:order val="1"/>
          <c:tx>
            <c:strRef>
              <c:f>'Regional Profitability Analysis'!$C$3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'Regional Profitability Analysis'!$A$4:$A$7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'Regional Profitability Analysis'!$C$4:$C$7</c:f>
              <c:numCache>
                <c:formatCode>_ [$₹-4009]\ * #,##0.00_ ;_ [$₹-4009]\ * \-#,##0.00_ ;_ [$₹-4009]\ * "-"??_ ;_ @_ </c:formatCode>
                <c:ptCount val="4"/>
                <c:pt idx="0">
                  <c:v>974433.57000000007</c:v>
                </c:pt>
                <c:pt idx="1">
                  <c:v>535211.69000000006</c:v>
                </c:pt>
                <c:pt idx="2">
                  <c:v>1033812.2199999999</c:v>
                </c:pt>
                <c:pt idx="3">
                  <c:v>957533.19000000018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3-4044-AA86-AD25428CE5B8}"/>
            </c:ext>
          </c:extLst>
        </c:ser>
        <c:ser>
          <c:idx val="2"/>
          <c:order val="2"/>
          <c:tx>
            <c:strRef>
              <c:f>'Regional Profitability Analysis'!$D$3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'Regional Profitability Analysis'!$A$4:$A$7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'Regional Profitability Analysis'!$D$4:$D$7</c:f>
              <c:numCache>
                <c:formatCode>_ [$₹-4009]\ * #,##0.00_ ;_ [$₹-4009]\ * \-#,##0.00_ ;_ [$₹-4009]\ * "-"??_ ;_ @_ </c:formatCode>
                <c:ptCount val="4"/>
                <c:pt idx="0">
                  <c:v>378971.42999999993</c:v>
                </c:pt>
                <c:pt idx="1">
                  <c:v>193638.30999999997</c:v>
                </c:pt>
                <c:pt idx="2">
                  <c:v>425497.78</c:v>
                </c:pt>
                <c:pt idx="3">
                  <c:v>437251.81000000011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3-4044-AA86-AD25428CE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94705408"/>
        <c:axId val="102530991"/>
      </c:barChart>
      <c:catAx>
        <c:axId val="199470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0991"/>
        <c:crosses val="autoZero"/>
        <c:auto val="1"/>
        <c:lblAlgn val="ctr"/>
        <c:lblOffset val="100"/>
        <c:noMultiLvlLbl val="0"/>
      </c:catAx>
      <c:valAx>
        <c:axId val="10253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7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Profitability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'Product-level Profitability Ana'!$D$3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'Product-level Profitability Ana'!$A$4:$A$13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Monitor</c:v>
                </c:pt>
                <c:pt idx="3">
                  <c:v>Desk</c:v>
                </c:pt>
                <c:pt idx="4">
                  <c:v>Printer</c:v>
                </c:pt>
                <c:pt idx="5">
                  <c:v>Office Chair</c:v>
                </c:pt>
                <c:pt idx="6">
                  <c:v>Backpack</c:v>
                </c:pt>
                <c:pt idx="7">
                  <c:v>Headphones</c:v>
                </c:pt>
                <c:pt idx="8">
                  <c:v>Keyboard</c:v>
                </c:pt>
                <c:pt idx="9">
                  <c:v>Mouse</c:v>
                </c:pt>
              </c:strCache>
            </c:strRef>
          </c:cat>
          <c:val>
            <c:numRef>
              <c:f>'Product-level Profitability Ana'!$D$4:$D$13</c:f>
              <c:numCache>
                <c:formatCode>_ [$₹-4009]\ * #,##0.00_ ;_ [$₹-4009]\ * \-#,##0.00_ ;_ [$₹-4009]\ * "-"??_ ;_ @_ </c:formatCode>
                <c:ptCount val="10"/>
                <c:pt idx="0">
                  <c:v>690758.94</c:v>
                </c:pt>
                <c:pt idx="1">
                  <c:v>183782.92</c:v>
                </c:pt>
                <c:pt idx="2">
                  <c:v>167573.16</c:v>
                </c:pt>
                <c:pt idx="3">
                  <c:v>133037.36000000002</c:v>
                </c:pt>
                <c:pt idx="4">
                  <c:v>110751.45999999999</c:v>
                </c:pt>
                <c:pt idx="5">
                  <c:v>50385.990000000005</c:v>
                </c:pt>
                <c:pt idx="6">
                  <c:v>33588.879999999997</c:v>
                </c:pt>
                <c:pt idx="7">
                  <c:v>26223.64</c:v>
                </c:pt>
                <c:pt idx="8">
                  <c:v>22983.489999999998</c:v>
                </c:pt>
                <c:pt idx="9">
                  <c:v>16273.489999999998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A-4678-89A3-CD13774F50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1772335"/>
        <c:axId val="70286511"/>
      </c:barChart>
      <c:catAx>
        <c:axId val="8177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86511"/>
        <c:crosses val="autoZero"/>
        <c:auto val="1"/>
        <c:lblAlgn val="ctr"/>
        <c:lblOffset val="100"/>
        <c:noMultiLvlLbl val="0"/>
      </c:catAx>
      <c:valAx>
        <c:axId val="7028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6</xdr:row>
      <xdr:rowOff>41910</xdr:rowOff>
    </xdr:from>
    <xdr:to>
      <xdr:col>12</xdr:col>
      <xdr:colOff>160020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A883D2-B58F-A3D9-37D5-70D600CD2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5</xdr:row>
      <xdr:rowOff>64770</xdr:rowOff>
    </xdr:from>
    <xdr:to>
      <xdr:col>13</xdr:col>
      <xdr:colOff>266700</xdr:colOff>
      <xdr:row>20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9674AF-7103-4F62-4A8C-5C0F690DE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7</xdr:row>
      <xdr:rowOff>133350</xdr:rowOff>
    </xdr:from>
    <xdr:to>
      <xdr:col>17</xdr:col>
      <xdr:colOff>83820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64FCA-1AFC-0845-18AB-E4E9A62C6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sk-1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k-16"/>
      <sheetName val="Sheet1"/>
    </sheetNames>
    <sheetDataSet>
      <sheetData sheetId="0">
        <row r="4">
          <cell r="E4" t="str">
            <v>Electronics</v>
          </cell>
          <cell r="G4">
            <v>1</v>
          </cell>
          <cell r="H4">
            <v>55000</v>
          </cell>
          <cell r="I4">
            <v>0.05</v>
          </cell>
          <cell r="K4">
            <v>52250</v>
          </cell>
          <cell r="L4">
            <v>37092.49</v>
          </cell>
          <cell r="M4">
            <v>15157.51</v>
          </cell>
        </row>
        <row r="5">
          <cell r="G5">
            <v>5</v>
          </cell>
          <cell r="H5">
            <v>12000</v>
          </cell>
          <cell r="I5">
            <v>0.05</v>
          </cell>
          <cell r="K5">
            <v>57000</v>
          </cell>
          <cell r="L5">
            <v>36885.94</v>
          </cell>
          <cell r="M5">
            <v>20114.060000000001</v>
          </cell>
        </row>
        <row r="6">
          <cell r="G6">
            <v>4</v>
          </cell>
          <cell r="H6">
            <v>1800</v>
          </cell>
          <cell r="I6">
            <v>0</v>
          </cell>
          <cell r="K6">
            <v>7200</v>
          </cell>
          <cell r="L6">
            <v>5705.1</v>
          </cell>
          <cell r="M6">
            <v>1494.9</v>
          </cell>
        </row>
        <row r="7">
          <cell r="G7">
            <v>1</v>
          </cell>
          <cell r="H7">
            <v>2200</v>
          </cell>
          <cell r="I7">
            <v>0</v>
          </cell>
          <cell r="K7">
            <v>2200</v>
          </cell>
          <cell r="L7">
            <v>1464.19</v>
          </cell>
          <cell r="M7">
            <v>735.81</v>
          </cell>
        </row>
        <row r="8">
          <cell r="G8">
            <v>2</v>
          </cell>
          <cell r="H8">
            <v>12000</v>
          </cell>
          <cell r="I8">
            <v>0</v>
          </cell>
          <cell r="K8">
            <v>24000</v>
          </cell>
          <cell r="L8">
            <v>16905.36</v>
          </cell>
          <cell r="M8">
            <v>7094.64</v>
          </cell>
        </row>
        <row r="9">
          <cell r="G9">
            <v>4</v>
          </cell>
          <cell r="H9">
            <v>11000</v>
          </cell>
          <cell r="I9">
            <v>0.15</v>
          </cell>
          <cell r="K9">
            <v>37400</v>
          </cell>
          <cell r="L9">
            <v>27459.43</v>
          </cell>
          <cell r="M9">
            <v>9940.57</v>
          </cell>
        </row>
        <row r="10">
          <cell r="G10">
            <v>5</v>
          </cell>
          <cell r="H10">
            <v>1200</v>
          </cell>
          <cell r="I10">
            <v>0.05</v>
          </cell>
          <cell r="K10">
            <v>5700</v>
          </cell>
          <cell r="L10">
            <v>4553.41</v>
          </cell>
          <cell r="M10">
            <v>1146.5899999999999</v>
          </cell>
        </row>
        <row r="11">
          <cell r="G11">
            <v>5</v>
          </cell>
          <cell r="H11">
            <v>11000</v>
          </cell>
          <cell r="I11">
            <v>0.1</v>
          </cell>
          <cell r="K11">
            <v>49500</v>
          </cell>
          <cell r="L11">
            <v>33034.32</v>
          </cell>
          <cell r="M11">
            <v>16465.68</v>
          </cell>
        </row>
        <row r="12">
          <cell r="G12">
            <v>5</v>
          </cell>
          <cell r="H12">
            <v>2200</v>
          </cell>
          <cell r="I12">
            <v>0</v>
          </cell>
          <cell r="K12">
            <v>11000</v>
          </cell>
          <cell r="L12">
            <v>8101.6</v>
          </cell>
          <cell r="M12">
            <v>2898.4</v>
          </cell>
        </row>
        <row r="13">
          <cell r="G13">
            <v>1</v>
          </cell>
          <cell r="H13">
            <v>1800</v>
          </cell>
          <cell r="I13">
            <v>0</v>
          </cell>
          <cell r="K13">
            <v>1800</v>
          </cell>
          <cell r="L13">
            <v>1426.86</v>
          </cell>
          <cell r="M13">
            <v>373.14</v>
          </cell>
        </row>
        <row r="14">
          <cell r="G14">
            <v>3</v>
          </cell>
          <cell r="H14">
            <v>55000</v>
          </cell>
          <cell r="I14">
            <v>0.15</v>
          </cell>
          <cell r="K14">
            <v>140250</v>
          </cell>
          <cell r="L14">
            <v>105801.31</v>
          </cell>
          <cell r="M14">
            <v>34448.69</v>
          </cell>
        </row>
        <row r="15">
          <cell r="G15">
            <v>1</v>
          </cell>
          <cell r="H15">
            <v>55000</v>
          </cell>
          <cell r="I15">
            <v>0</v>
          </cell>
          <cell r="K15">
            <v>55000</v>
          </cell>
          <cell r="L15">
            <v>40208.89</v>
          </cell>
          <cell r="M15">
            <v>14791.11</v>
          </cell>
        </row>
        <row r="16">
          <cell r="G16">
            <v>3</v>
          </cell>
          <cell r="H16">
            <v>15000</v>
          </cell>
          <cell r="I16">
            <v>0.05</v>
          </cell>
          <cell r="K16">
            <v>42750</v>
          </cell>
          <cell r="L16">
            <v>31465.81</v>
          </cell>
          <cell r="M16">
            <v>11284.19</v>
          </cell>
        </row>
        <row r="17">
          <cell r="G17">
            <v>1</v>
          </cell>
          <cell r="H17">
            <v>2200</v>
          </cell>
          <cell r="I17">
            <v>0</v>
          </cell>
          <cell r="K17">
            <v>2200</v>
          </cell>
          <cell r="L17">
            <v>1709.55</v>
          </cell>
          <cell r="M17">
            <v>490.45</v>
          </cell>
        </row>
        <row r="18">
          <cell r="G18">
            <v>3</v>
          </cell>
          <cell r="H18">
            <v>3500</v>
          </cell>
          <cell r="I18">
            <v>0.05</v>
          </cell>
          <cell r="K18">
            <v>9975</v>
          </cell>
          <cell r="L18">
            <v>7130.63</v>
          </cell>
          <cell r="M18">
            <v>2844.37</v>
          </cell>
        </row>
        <row r="19">
          <cell r="G19">
            <v>4</v>
          </cell>
          <cell r="H19">
            <v>55000</v>
          </cell>
          <cell r="I19">
            <v>0</v>
          </cell>
          <cell r="K19">
            <v>220000</v>
          </cell>
          <cell r="L19">
            <v>143484.09</v>
          </cell>
          <cell r="M19">
            <v>76515.91</v>
          </cell>
        </row>
        <row r="20">
          <cell r="G20">
            <v>4</v>
          </cell>
          <cell r="H20">
            <v>2200</v>
          </cell>
          <cell r="I20">
            <v>0.1</v>
          </cell>
          <cell r="K20">
            <v>7920</v>
          </cell>
          <cell r="L20">
            <v>5400.12</v>
          </cell>
          <cell r="M20">
            <v>2519.88</v>
          </cell>
        </row>
        <row r="21">
          <cell r="G21">
            <v>4</v>
          </cell>
          <cell r="H21">
            <v>15000</v>
          </cell>
          <cell r="I21">
            <v>0</v>
          </cell>
          <cell r="K21">
            <v>60000</v>
          </cell>
          <cell r="L21">
            <v>48896.85</v>
          </cell>
          <cell r="M21">
            <v>11103.15</v>
          </cell>
        </row>
        <row r="22">
          <cell r="G22">
            <v>2</v>
          </cell>
          <cell r="H22">
            <v>12000</v>
          </cell>
          <cell r="I22">
            <v>0</v>
          </cell>
          <cell r="K22">
            <v>24000</v>
          </cell>
          <cell r="L22">
            <v>16293.41</v>
          </cell>
          <cell r="M22">
            <v>7706.59</v>
          </cell>
        </row>
        <row r="23">
          <cell r="G23">
            <v>2</v>
          </cell>
          <cell r="H23">
            <v>3500</v>
          </cell>
          <cell r="I23">
            <v>0.15</v>
          </cell>
          <cell r="K23">
            <v>5950</v>
          </cell>
          <cell r="L23">
            <v>4014.16</v>
          </cell>
          <cell r="M23">
            <v>1935.84</v>
          </cell>
        </row>
        <row r="24">
          <cell r="G24">
            <v>2</v>
          </cell>
          <cell r="H24">
            <v>12000</v>
          </cell>
          <cell r="I24">
            <v>0.05</v>
          </cell>
          <cell r="K24">
            <v>22800</v>
          </cell>
          <cell r="L24">
            <v>14501.27</v>
          </cell>
          <cell r="M24">
            <v>8298.73</v>
          </cell>
        </row>
        <row r="25">
          <cell r="G25">
            <v>3</v>
          </cell>
          <cell r="H25">
            <v>1800</v>
          </cell>
          <cell r="I25">
            <v>0</v>
          </cell>
          <cell r="K25">
            <v>5400</v>
          </cell>
          <cell r="L25">
            <v>4279.4399999999996</v>
          </cell>
          <cell r="M25">
            <v>1120.56</v>
          </cell>
        </row>
        <row r="26">
          <cell r="G26">
            <v>3</v>
          </cell>
          <cell r="H26">
            <v>1800</v>
          </cell>
          <cell r="I26">
            <v>0.05</v>
          </cell>
          <cell r="K26">
            <v>5130</v>
          </cell>
          <cell r="L26">
            <v>3488.01</v>
          </cell>
          <cell r="M26">
            <v>1641.99</v>
          </cell>
        </row>
        <row r="27">
          <cell r="G27">
            <v>4</v>
          </cell>
          <cell r="H27">
            <v>11000</v>
          </cell>
          <cell r="I27">
            <v>0</v>
          </cell>
          <cell r="K27">
            <v>44000</v>
          </cell>
          <cell r="L27">
            <v>35856.11</v>
          </cell>
          <cell r="M27">
            <v>8143.89</v>
          </cell>
        </row>
        <row r="28">
          <cell r="G28">
            <v>1</v>
          </cell>
          <cell r="H28">
            <v>1200</v>
          </cell>
          <cell r="I28">
            <v>0.05</v>
          </cell>
          <cell r="K28">
            <v>1140</v>
          </cell>
          <cell r="L28">
            <v>862.11</v>
          </cell>
          <cell r="M28">
            <v>277.89</v>
          </cell>
        </row>
        <row r="29">
          <cell r="G29">
            <v>4</v>
          </cell>
          <cell r="H29">
            <v>12000</v>
          </cell>
          <cell r="I29">
            <v>0.05</v>
          </cell>
          <cell r="K29">
            <v>45600</v>
          </cell>
          <cell r="L29">
            <v>37200.699999999997</v>
          </cell>
          <cell r="M29">
            <v>8399.2999999999993</v>
          </cell>
        </row>
        <row r="30">
          <cell r="G30">
            <v>4</v>
          </cell>
          <cell r="H30">
            <v>8500</v>
          </cell>
          <cell r="I30">
            <v>0</v>
          </cell>
          <cell r="K30">
            <v>34000</v>
          </cell>
          <cell r="L30">
            <v>25010.01</v>
          </cell>
          <cell r="M30">
            <v>8989.99</v>
          </cell>
        </row>
        <row r="31">
          <cell r="G31">
            <v>3</v>
          </cell>
          <cell r="H31">
            <v>11000</v>
          </cell>
          <cell r="I31">
            <v>0.05</v>
          </cell>
          <cell r="K31">
            <v>31350</v>
          </cell>
          <cell r="L31">
            <v>25561.4</v>
          </cell>
          <cell r="M31">
            <v>5788.6</v>
          </cell>
        </row>
        <row r="32">
          <cell r="G32">
            <v>2</v>
          </cell>
          <cell r="H32">
            <v>1200</v>
          </cell>
          <cell r="I32">
            <v>0.05</v>
          </cell>
          <cell r="K32">
            <v>2280</v>
          </cell>
          <cell r="L32">
            <v>1673.07</v>
          </cell>
          <cell r="M32">
            <v>606.92999999999995</v>
          </cell>
        </row>
        <row r="33">
          <cell r="G33">
            <v>1</v>
          </cell>
          <cell r="H33">
            <v>55000</v>
          </cell>
          <cell r="I33">
            <v>0.05</v>
          </cell>
          <cell r="K33">
            <v>52250</v>
          </cell>
          <cell r="L33">
            <v>41425.11</v>
          </cell>
          <cell r="M33">
            <v>10824.89</v>
          </cell>
        </row>
        <row r="34">
          <cell r="G34">
            <v>2</v>
          </cell>
          <cell r="H34">
            <v>28000</v>
          </cell>
          <cell r="I34">
            <v>0.1</v>
          </cell>
          <cell r="K34">
            <v>50400</v>
          </cell>
          <cell r="L34">
            <v>32117.599999999999</v>
          </cell>
          <cell r="M34">
            <v>18282.400000000001</v>
          </cell>
        </row>
        <row r="35">
          <cell r="G35">
            <v>4</v>
          </cell>
          <cell r="H35">
            <v>2200</v>
          </cell>
          <cell r="I35">
            <v>0</v>
          </cell>
          <cell r="K35">
            <v>8800</v>
          </cell>
          <cell r="L35">
            <v>7086.04</v>
          </cell>
          <cell r="M35">
            <v>1713.96</v>
          </cell>
        </row>
        <row r="36">
          <cell r="G36">
            <v>3</v>
          </cell>
          <cell r="H36">
            <v>11000</v>
          </cell>
          <cell r="I36">
            <v>0.15</v>
          </cell>
          <cell r="K36">
            <v>28050</v>
          </cell>
          <cell r="L36">
            <v>18490.759999999998</v>
          </cell>
          <cell r="M36">
            <v>9559.24</v>
          </cell>
        </row>
        <row r="37">
          <cell r="G37">
            <v>1</v>
          </cell>
          <cell r="H37">
            <v>3500</v>
          </cell>
          <cell r="I37">
            <v>0.05</v>
          </cell>
          <cell r="K37">
            <v>3325</v>
          </cell>
          <cell r="L37">
            <v>2592.5700000000002</v>
          </cell>
          <cell r="M37">
            <v>732.43</v>
          </cell>
        </row>
        <row r="38">
          <cell r="G38">
            <v>5</v>
          </cell>
          <cell r="H38">
            <v>2200</v>
          </cell>
          <cell r="I38">
            <v>0</v>
          </cell>
          <cell r="K38">
            <v>11000</v>
          </cell>
          <cell r="L38">
            <v>8292.99</v>
          </cell>
          <cell r="M38">
            <v>2707.01</v>
          </cell>
        </row>
        <row r="39">
          <cell r="G39">
            <v>4</v>
          </cell>
          <cell r="H39">
            <v>8500</v>
          </cell>
          <cell r="I39">
            <v>0.05</v>
          </cell>
          <cell r="K39">
            <v>32300</v>
          </cell>
          <cell r="L39">
            <v>25307.78</v>
          </cell>
          <cell r="M39">
            <v>6992.22</v>
          </cell>
        </row>
        <row r="40">
          <cell r="G40">
            <v>3</v>
          </cell>
          <cell r="H40">
            <v>1200</v>
          </cell>
          <cell r="I40">
            <v>0.05</v>
          </cell>
          <cell r="K40">
            <v>3420</v>
          </cell>
          <cell r="L40">
            <v>2476.08</v>
          </cell>
          <cell r="M40">
            <v>943.92</v>
          </cell>
        </row>
        <row r="41">
          <cell r="G41">
            <v>4</v>
          </cell>
          <cell r="H41">
            <v>15000</v>
          </cell>
          <cell r="I41">
            <v>0.05</v>
          </cell>
          <cell r="K41">
            <v>57000</v>
          </cell>
          <cell r="L41">
            <v>43361.52</v>
          </cell>
          <cell r="M41">
            <v>13638.48</v>
          </cell>
        </row>
        <row r="42">
          <cell r="G42">
            <v>4</v>
          </cell>
          <cell r="H42">
            <v>11000</v>
          </cell>
          <cell r="I42">
            <v>0</v>
          </cell>
          <cell r="K42">
            <v>44000</v>
          </cell>
          <cell r="L42">
            <v>29555.62</v>
          </cell>
          <cell r="M42">
            <v>14444.38</v>
          </cell>
        </row>
        <row r="43">
          <cell r="G43">
            <v>5</v>
          </cell>
          <cell r="H43">
            <v>1800</v>
          </cell>
          <cell r="I43">
            <v>0.05</v>
          </cell>
          <cell r="K43">
            <v>8550</v>
          </cell>
          <cell r="L43">
            <v>6676.63</v>
          </cell>
          <cell r="M43">
            <v>1873.37</v>
          </cell>
        </row>
        <row r="44">
          <cell r="G44">
            <v>1</v>
          </cell>
          <cell r="H44">
            <v>11000</v>
          </cell>
          <cell r="I44">
            <v>0</v>
          </cell>
          <cell r="K44">
            <v>11000</v>
          </cell>
          <cell r="L44">
            <v>8454.11</v>
          </cell>
          <cell r="M44">
            <v>2545.89</v>
          </cell>
        </row>
        <row r="45">
          <cell r="G45">
            <v>2</v>
          </cell>
          <cell r="H45">
            <v>28000</v>
          </cell>
          <cell r="I45">
            <v>0.05</v>
          </cell>
          <cell r="K45">
            <v>53200</v>
          </cell>
          <cell r="L45">
            <v>36485.56</v>
          </cell>
          <cell r="M45">
            <v>16714.439999999999</v>
          </cell>
        </row>
        <row r="46">
          <cell r="G46">
            <v>5</v>
          </cell>
          <cell r="H46">
            <v>8500</v>
          </cell>
          <cell r="I46">
            <v>0</v>
          </cell>
          <cell r="K46">
            <v>42500</v>
          </cell>
          <cell r="L46">
            <v>31517.73</v>
          </cell>
          <cell r="M46">
            <v>10982.27</v>
          </cell>
        </row>
        <row r="47">
          <cell r="G47">
            <v>1</v>
          </cell>
          <cell r="H47">
            <v>3500</v>
          </cell>
          <cell r="I47">
            <v>0</v>
          </cell>
          <cell r="K47">
            <v>3500</v>
          </cell>
          <cell r="L47">
            <v>2840.92</v>
          </cell>
          <cell r="M47">
            <v>659.08</v>
          </cell>
        </row>
        <row r="48">
          <cell r="G48">
            <v>4</v>
          </cell>
          <cell r="H48">
            <v>1800</v>
          </cell>
          <cell r="I48">
            <v>0</v>
          </cell>
          <cell r="K48">
            <v>7200</v>
          </cell>
          <cell r="L48">
            <v>5737.83</v>
          </cell>
          <cell r="M48">
            <v>1462.17</v>
          </cell>
        </row>
        <row r="49">
          <cell r="G49">
            <v>2</v>
          </cell>
          <cell r="H49">
            <v>2200</v>
          </cell>
          <cell r="I49">
            <v>0.1</v>
          </cell>
          <cell r="K49">
            <v>3960</v>
          </cell>
          <cell r="L49">
            <v>3093.52</v>
          </cell>
          <cell r="M49">
            <v>866.48</v>
          </cell>
        </row>
        <row r="50">
          <cell r="G50">
            <v>3</v>
          </cell>
          <cell r="H50">
            <v>28000</v>
          </cell>
          <cell r="I50">
            <v>0.1</v>
          </cell>
          <cell r="K50">
            <v>75600</v>
          </cell>
          <cell r="L50">
            <v>53280.15</v>
          </cell>
          <cell r="M50">
            <v>22319.85</v>
          </cell>
        </row>
        <row r="51">
          <cell r="G51">
            <v>4</v>
          </cell>
          <cell r="H51">
            <v>12000</v>
          </cell>
          <cell r="I51">
            <v>0</v>
          </cell>
          <cell r="K51">
            <v>48000</v>
          </cell>
          <cell r="L51">
            <v>31747.89</v>
          </cell>
          <cell r="M51">
            <v>16252.11</v>
          </cell>
        </row>
        <row r="52">
          <cell r="G52">
            <v>2</v>
          </cell>
          <cell r="H52">
            <v>1200</v>
          </cell>
          <cell r="I52">
            <v>0</v>
          </cell>
          <cell r="K52">
            <v>2400</v>
          </cell>
          <cell r="L52">
            <v>1583.04</v>
          </cell>
          <cell r="M52">
            <v>816.96</v>
          </cell>
        </row>
        <row r="53">
          <cell r="G53">
            <v>3</v>
          </cell>
          <cell r="H53">
            <v>3500</v>
          </cell>
          <cell r="I53">
            <v>0.1</v>
          </cell>
          <cell r="K53">
            <v>9450</v>
          </cell>
          <cell r="L53">
            <v>7362.48</v>
          </cell>
          <cell r="M53">
            <v>2087.52</v>
          </cell>
        </row>
        <row r="54">
          <cell r="G54">
            <v>1</v>
          </cell>
          <cell r="H54">
            <v>15000</v>
          </cell>
          <cell r="I54">
            <v>0</v>
          </cell>
          <cell r="K54">
            <v>15000</v>
          </cell>
          <cell r="L54">
            <v>10463.299999999999</v>
          </cell>
          <cell r="M54">
            <v>4536.7</v>
          </cell>
        </row>
        <row r="55">
          <cell r="G55">
            <v>1</v>
          </cell>
          <cell r="H55">
            <v>28000</v>
          </cell>
          <cell r="I55">
            <v>0.15</v>
          </cell>
          <cell r="K55">
            <v>23800</v>
          </cell>
          <cell r="L55">
            <v>16637.82</v>
          </cell>
          <cell r="M55">
            <v>7162.18</v>
          </cell>
        </row>
        <row r="56">
          <cell r="G56">
            <v>5</v>
          </cell>
          <cell r="H56">
            <v>12000</v>
          </cell>
          <cell r="I56">
            <v>0.1</v>
          </cell>
          <cell r="K56">
            <v>54000</v>
          </cell>
          <cell r="L56">
            <v>37799.58</v>
          </cell>
          <cell r="M56">
            <v>16200.42</v>
          </cell>
        </row>
        <row r="57">
          <cell r="G57">
            <v>5</v>
          </cell>
          <cell r="H57">
            <v>3500</v>
          </cell>
          <cell r="I57">
            <v>0.15</v>
          </cell>
          <cell r="K57">
            <v>14875</v>
          </cell>
          <cell r="L57">
            <v>12055.71</v>
          </cell>
          <cell r="M57">
            <v>2819.29</v>
          </cell>
        </row>
        <row r="58">
          <cell r="G58">
            <v>5</v>
          </cell>
          <cell r="H58">
            <v>3500</v>
          </cell>
          <cell r="I58">
            <v>0.05</v>
          </cell>
          <cell r="K58">
            <v>16625</v>
          </cell>
          <cell r="L58">
            <v>13379.28</v>
          </cell>
          <cell r="M58">
            <v>3245.72</v>
          </cell>
        </row>
        <row r="59">
          <cell r="G59">
            <v>2</v>
          </cell>
          <cell r="H59">
            <v>15000</v>
          </cell>
          <cell r="I59">
            <v>0.1</v>
          </cell>
          <cell r="K59">
            <v>27000</v>
          </cell>
          <cell r="L59">
            <v>20203.96</v>
          </cell>
          <cell r="M59">
            <v>6796.04</v>
          </cell>
        </row>
        <row r="60">
          <cell r="G60">
            <v>2</v>
          </cell>
          <cell r="H60">
            <v>8500</v>
          </cell>
          <cell r="I60">
            <v>0.1</v>
          </cell>
          <cell r="K60">
            <v>15300</v>
          </cell>
          <cell r="L60">
            <v>10919.3</v>
          </cell>
          <cell r="M60">
            <v>4380.7</v>
          </cell>
        </row>
        <row r="61">
          <cell r="G61">
            <v>3</v>
          </cell>
          <cell r="H61">
            <v>3500</v>
          </cell>
          <cell r="I61">
            <v>0.05</v>
          </cell>
          <cell r="K61">
            <v>9975</v>
          </cell>
          <cell r="L61">
            <v>6668.05</v>
          </cell>
          <cell r="M61">
            <v>3306.95</v>
          </cell>
        </row>
        <row r="62">
          <cell r="G62">
            <v>5</v>
          </cell>
          <cell r="H62">
            <v>15000</v>
          </cell>
          <cell r="I62">
            <v>0.1</v>
          </cell>
          <cell r="K62">
            <v>67500</v>
          </cell>
          <cell r="L62">
            <v>53215.05</v>
          </cell>
          <cell r="M62">
            <v>14284.95</v>
          </cell>
        </row>
        <row r="63">
          <cell r="G63">
            <v>4</v>
          </cell>
          <cell r="H63">
            <v>55000</v>
          </cell>
          <cell r="I63">
            <v>0.1</v>
          </cell>
          <cell r="K63">
            <v>198000</v>
          </cell>
          <cell r="L63">
            <v>125651.85</v>
          </cell>
          <cell r="M63">
            <v>72348.149999999994</v>
          </cell>
        </row>
        <row r="64">
          <cell r="G64">
            <v>4</v>
          </cell>
          <cell r="H64">
            <v>2200</v>
          </cell>
          <cell r="I64">
            <v>0</v>
          </cell>
          <cell r="K64">
            <v>8800</v>
          </cell>
          <cell r="L64">
            <v>6999.67</v>
          </cell>
          <cell r="M64">
            <v>1800.33</v>
          </cell>
        </row>
        <row r="65">
          <cell r="G65">
            <v>4</v>
          </cell>
          <cell r="H65">
            <v>11000</v>
          </cell>
          <cell r="I65">
            <v>0</v>
          </cell>
          <cell r="K65">
            <v>44000</v>
          </cell>
          <cell r="L65">
            <v>28778.61</v>
          </cell>
          <cell r="M65">
            <v>15221.39</v>
          </cell>
        </row>
        <row r="66">
          <cell r="G66">
            <v>5</v>
          </cell>
          <cell r="H66">
            <v>3500</v>
          </cell>
          <cell r="I66">
            <v>0.1</v>
          </cell>
          <cell r="K66">
            <v>15750</v>
          </cell>
          <cell r="L66">
            <v>11803.37</v>
          </cell>
          <cell r="M66">
            <v>3946.63</v>
          </cell>
        </row>
        <row r="67">
          <cell r="G67">
            <v>1</v>
          </cell>
          <cell r="H67">
            <v>2200</v>
          </cell>
          <cell r="I67">
            <v>0</v>
          </cell>
          <cell r="K67">
            <v>2200</v>
          </cell>
          <cell r="L67">
            <v>1743.54</v>
          </cell>
          <cell r="M67">
            <v>456.46</v>
          </cell>
        </row>
        <row r="68">
          <cell r="G68">
            <v>2</v>
          </cell>
          <cell r="H68">
            <v>2200</v>
          </cell>
          <cell r="I68">
            <v>0</v>
          </cell>
          <cell r="K68">
            <v>4400</v>
          </cell>
          <cell r="L68">
            <v>2867.57</v>
          </cell>
          <cell r="M68">
            <v>1532.43</v>
          </cell>
        </row>
        <row r="69">
          <cell r="G69">
            <v>5</v>
          </cell>
          <cell r="H69">
            <v>15000</v>
          </cell>
          <cell r="I69">
            <v>0</v>
          </cell>
          <cell r="K69">
            <v>75000</v>
          </cell>
          <cell r="L69">
            <v>50125.1</v>
          </cell>
          <cell r="M69">
            <v>24874.9</v>
          </cell>
        </row>
        <row r="70">
          <cell r="G70">
            <v>4</v>
          </cell>
          <cell r="H70">
            <v>15000</v>
          </cell>
          <cell r="I70">
            <v>0.05</v>
          </cell>
          <cell r="K70">
            <v>57000</v>
          </cell>
          <cell r="L70">
            <v>41486.82</v>
          </cell>
          <cell r="M70">
            <v>15513.18</v>
          </cell>
        </row>
        <row r="71">
          <cell r="G71">
            <v>2</v>
          </cell>
          <cell r="H71">
            <v>28000</v>
          </cell>
          <cell r="I71">
            <v>0.1</v>
          </cell>
          <cell r="K71">
            <v>50400</v>
          </cell>
          <cell r="L71">
            <v>34969.24</v>
          </cell>
          <cell r="M71">
            <v>15430.76</v>
          </cell>
        </row>
        <row r="72">
          <cell r="G72">
            <v>3</v>
          </cell>
          <cell r="H72">
            <v>1200</v>
          </cell>
          <cell r="I72">
            <v>0.05</v>
          </cell>
          <cell r="K72">
            <v>3420</v>
          </cell>
          <cell r="L72">
            <v>2718.15</v>
          </cell>
          <cell r="M72">
            <v>701.85</v>
          </cell>
        </row>
        <row r="73">
          <cell r="G73">
            <v>2</v>
          </cell>
          <cell r="H73">
            <v>15000</v>
          </cell>
          <cell r="I73">
            <v>0.1</v>
          </cell>
          <cell r="K73">
            <v>27000</v>
          </cell>
          <cell r="L73">
            <v>18801.060000000001</v>
          </cell>
          <cell r="M73">
            <v>8198.94</v>
          </cell>
        </row>
        <row r="74">
          <cell r="G74">
            <v>1</v>
          </cell>
          <cell r="H74">
            <v>28000</v>
          </cell>
          <cell r="I74">
            <v>0.05</v>
          </cell>
          <cell r="K74">
            <v>26600</v>
          </cell>
          <cell r="L74">
            <v>20883.580000000002</v>
          </cell>
          <cell r="M74">
            <v>5716.42</v>
          </cell>
        </row>
        <row r="75">
          <cell r="G75">
            <v>4</v>
          </cell>
          <cell r="H75">
            <v>8500</v>
          </cell>
          <cell r="I75">
            <v>0.1</v>
          </cell>
          <cell r="K75">
            <v>30600</v>
          </cell>
          <cell r="L75">
            <v>19337.02</v>
          </cell>
          <cell r="M75">
            <v>11262.98</v>
          </cell>
        </row>
        <row r="76">
          <cell r="G76">
            <v>2</v>
          </cell>
          <cell r="H76">
            <v>11000</v>
          </cell>
          <cell r="I76">
            <v>0</v>
          </cell>
          <cell r="K76">
            <v>22000</v>
          </cell>
          <cell r="L76">
            <v>17157.830000000002</v>
          </cell>
          <cell r="M76">
            <v>4842.17</v>
          </cell>
        </row>
        <row r="77">
          <cell r="G77">
            <v>1</v>
          </cell>
          <cell r="H77">
            <v>55000</v>
          </cell>
          <cell r="I77">
            <v>0</v>
          </cell>
          <cell r="K77">
            <v>55000</v>
          </cell>
          <cell r="L77">
            <v>42265.43</v>
          </cell>
          <cell r="M77">
            <v>12734.57</v>
          </cell>
        </row>
        <row r="78">
          <cell r="G78">
            <v>1</v>
          </cell>
          <cell r="H78">
            <v>1800</v>
          </cell>
          <cell r="I78">
            <v>0</v>
          </cell>
          <cell r="K78">
            <v>1800</v>
          </cell>
          <cell r="L78">
            <v>1382.38</v>
          </cell>
          <cell r="M78">
            <v>417.62</v>
          </cell>
        </row>
        <row r="79">
          <cell r="G79">
            <v>5</v>
          </cell>
          <cell r="H79">
            <v>1200</v>
          </cell>
          <cell r="I79">
            <v>0.05</v>
          </cell>
          <cell r="K79">
            <v>5700</v>
          </cell>
          <cell r="L79">
            <v>3742.65</v>
          </cell>
          <cell r="M79">
            <v>1957.35</v>
          </cell>
        </row>
        <row r="80">
          <cell r="G80">
            <v>4</v>
          </cell>
          <cell r="H80">
            <v>28000</v>
          </cell>
          <cell r="I80">
            <v>0.05</v>
          </cell>
          <cell r="K80">
            <v>106400</v>
          </cell>
          <cell r="L80">
            <v>86362.45</v>
          </cell>
          <cell r="M80">
            <v>20037.55</v>
          </cell>
        </row>
        <row r="81">
          <cell r="G81">
            <v>4</v>
          </cell>
          <cell r="H81">
            <v>1800</v>
          </cell>
          <cell r="I81">
            <v>0.05</v>
          </cell>
          <cell r="K81">
            <v>6840</v>
          </cell>
          <cell r="L81">
            <v>4526.1099999999997</v>
          </cell>
          <cell r="M81">
            <v>2313.89</v>
          </cell>
        </row>
        <row r="82">
          <cell r="G82">
            <v>5</v>
          </cell>
          <cell r="H82">
            <v>55000</v>
          </cell>
          <cell r="I82">
            <v>0.05</v>
          </cell>
          <cell r="K82">
            <v>261250</v>
          </cell>
          <cell r="L82">
            <v>167423</v>
          </cell>
          <cell r="M82">
            <v>93827</v>
          </cell>
        </row>
        <row r="83">
          <cell r="G83">
            <v>2</v>
          </cell>
          <cell r="H83">
            <v>11000</v>
          </cell>
          <cell r="I83">
            <v>0.05</v>
          </cell>
          <cell r="K83">
            <v>20900</v>
          </cell>
          <cell r="L83">
            <v>13001.52</v>
          </cell>
          <cell r="M83">
            <v>7898.48</v>
          </cell>
        </row>
        <row r="84">
          <cell r="G84">
            <v>1</v>
          </cell>
          <cell r="H84">
            <v>1800</v>
          </cell>
          <cell r="I84">
            <v>0.1</v>
          </cell>
          <cell r="K84">
            <v>1620</v>
          </cell>
          <cell r="L84">
            <v>1059.71</v>
          </cell>
          <cell r="M84">
            <v>560.29</v>
          </cell>
        </row>
        <row r="85">
          <cell r="G85">
            <v>1</v>
          </cell>
          <cell r="H85">
            <v>11000</v>
          </cell>
          <cell r="I85">
            <v>0.1</v>
          </cell>
          <cell r="K85">
            <v>9900</v>
          </cell>
          <cell r="L85">
            <v>7389.03</v>
          </cell>
          <cell r="M85">
            <v>2510.9699999999998</v>
          </cell>
        </row>
        <row r="86">
          <cell r="G86">
            <v>1</v>
          </cell>
          <cell r="H86">
            <v>3500</v>
          </cell>
          <cell r="I86">
            <v>0</v>
          </cell>
          <cell r="K86">
            <v>3500</v>
          </cell>
          <cell r="L86">
            <v>2544</v>
          </cell>
          <cell r="M86">
            <v>956</v>
          </cell>
        </row>
        <row r="87">
          <cell r="G87">
            <v>5</v>
          </cell>
          <cell r="H87">
            <v>1200</v>
          </cell>
          <cell r="I87">
            <v>0</v>
          </cell>
          <cell r="K87">
            <v>6000</v>
          </cell>
          <cell r="L87">
            <v>3947.58</v>
          </cell>
          <cell r="M87">
            <v>2052.42</v>
          </cell>
        </row>
        <row r="88">
          <cell r="G88">
            <v>3</v>
          </cell>
          <cell r="H88">
            <v>12000</v>
          </cell>
          <cell r="I88">
            <v>0</v>
          </cell>
          <cell r="K88">
            <v>36000</v>
          </cell>
          <cell r="L88">
            <v>25340.28</v>
          </cell>
          <cell r="M88">
            <v>10659.72</v>
          </cell>
        </row>
        <row r="89">
          <cell r="G89">
            <v>2</v>
          </cell>
          <cell r="H89">
            <v>55000</v>
          </cell>
          <cell r="I89">
            <v>0.05</v>
          </cell>
          <cell r="K89">
            <v>104500</v>
          </cell>
          <cell r="L89">
            <v>82298.240000000005</v>
          </cell>
          <cell r="M89">
            <v>22201.759999999998</v>
          </cell>
        </row>
        <row r="90">
          <cell r="G90">
            <v>3</v>
          </cell>
          <cell r="H90">
            <v>2200</v>
          </cell>
          <cell r="I90">
            <v>0</v>
          </cell>
          <cell r="K90">
            <v>6600</v>
          </cell>
          <cell r="L90">
            <v>4143.45</v>
          </cell>
          <cell r="M90">
            <v>2456.5500000000002</v>
          </cell>
        </row>
        <row r="91">
          <cell r="G91">
            <v>5</v>
          </cell>
          <cell r="H91">
            <v>28000</v>
          </cell>
          <cell r="I91">
            <v>0.05</v>
          </cell>
          <cell r="K91">
            <v>133000</v>
          </cell>
          <cell r="L91">
            <v>84151.88</v>
          </cell>
          <cell r="M91">
            <v>48848.12</v>
          </cell>
        </row>
        <row r="92">
          <cell r="G92">
            <v>2</v>
          </cell>
          <cell r="H92">
            <v>1800</v>
          </cell>
          <cell r="I92">
            <v>0.05</v>
          </cell>
          <cell r="K92">
            <v>3420</v>
          </cell>
          <cell r="L92">
            <v>2668.85</v>
          </cell>
          <cell r="M92">
            <v>751.15</v>
          </cell>
        </row>
        <row r="93">
          <cell r="G93">
            <v>4</v>
          </cell>
          <cell r="H93">
            <v>12000</v>
          </cell>
          <cell r="I93">
            <v>0</v>
          </cell>
          <cell r="K93">
            <v>48000</v>
          </cell>
          <cell r="L93">
            <v>35197.81</v>
          </cell>
          <cell r="M93">
            <v>12802.19</v>
          </cell>
        </row>
        <row r="94">
          <cell r="G94">
            <v>4</v>
          </cell>
          <cell r="H94">
            <v>1800</v>
          </cell>
          <cell r="I94">
            <v>0.1</v>
          </cell>
          <cell r="K94">
            <v>6480</v>
          </cell>
          <cell r="L94">
            <v>4131.33</v>
          </cell>
          <cell r="M94">
            <v>2348.67</v>
          </cell>
        </row>
        <row r="95">
          <cell r="G95">
            <v>4</v>
          </cell>
          <cell r="H95">
            <v>2200</v>
          </cell>
          <cell r="I95">
            <v>0</v>
          </cell>
          <cell r="K95">
            <v>8800</v>
          </cell>
          <cell r="L95">
            <v>5626.34</v>
          </cell>
          <cell r="M95">
            <v>3173.66</v>
          </cell>
        </row>
        <row r="96">
          <cell r="G96">
            <v>4</v>
          </cell>
          <cell r="H96">
            <v>1200</v>
          </cell>
          <cell r="I96">
            <v>0</v>
          </cell>
          <cell r="K96">
            <v>4800</v>
          </cell>
          <cell r="L96">
            <v>3114.77</v>
          </cell>
          <cell r="M96">
            <v>1685.23</v>
          </cell>
        </row>
        <row r="97">
          <cell r="G97">
            <v>3</v>
          </cell>
          <cell r="H97">
            <v>15000</v>
          </cell>
          <cell r="I97">
            <v>0</v>
          </cell>
          <cell r="K97">
            <v>45000</v>
          </cell>
          <cell r="L97">
            <v>30871.85</v>
          </cell>
          <cell r="M97">
            <v>14128.15</v>
          </cell>
        </row>
        <row r="98">
          <cell r="G98">
            <v>4</v>
          </cell>
          <cell r="H98">
            <v>55000</v>
          </cell>
          <cell r="I98">
            <v>0</v>
          </cell>
          <cell r="K98">
            <v>220000</v>
          </cell>
          <cell r="L98">
            <v>156473.42000000001</v>
          </cell>
          <cell r="M98">
            <v>63526.58</v>
          </cell>
        </row>
        <row r="99">
          <cell r="G99">
            <v>1</v>
          </cell>
          <cell r="H99">
            <v>3500</v>
          </cell>
          <cell r="I99">
            <v>0.15</v>
          </cell>
          <cell r="K99">
            <v>2975</v>
          </cell>
          <cell r="L99">
            <v>2109.98</v>
          </cell>
          <cell r="M99">
            <v>865.02</v>
          </cell>
        </row>
        <row r="100">
          <cell r="G100">
            <v>1</v>
          </cell>
          <cell r="H100">
            <v>8500</v>
          </cell>
          <cell r="I100">
            <v>0.1</v>
          </cell>
          <cell r="K100">
            <v>7650</v>
          </cell>
          <cell r="L100">
            <v>6152.53</v>
          </cell>
          <cell r="M100">
            <v>1497.47</v>
          </cell>
        </row>
        <row r="101">
          <cell r="G101">
            <v>3</v>
          </cell>
          <cell r="H101">
            <v>1800</v>
          </cell>
          <cell r="I101">
            <v>0.1</v>
          </cell>
          <cell r="K101">
            <v>4860</v>
          </cell>
          <cell r="L101">
            <v>3039.25</v>
          </cell>
          <cell r="M101">
            <v>1820.75</v>
          </cell>
        </row>
        <row r="102">
          <cell r="G102">
            <v>2</v>
          </cell>
          <cell r="H102">
            <v>1800</v>
          </cell>
          <cell r="I102">
            <v>0</v>
          </cell>
          <cell r="K102">
            <v>3600</v>
          </cell>
          <cell r="L102">
            <v>2692.67</v>
          </cell>
          <cell r="M102">
            <v>907.33</v>
          </cell>
        </row>
        <row r="103">
          <cell r="G103">
            <v>2</v>
          </cell>
          <cell r="H103">
            <v>8500</v>
          </cell>
          <cell r="I103">
            <v>0.1</v>
          </cell>
          <cell r="K103">
            <v>15300</v>
          </cell>
          <cell r="L103">
            <v>12097.4</v>
          </cell>
          <cell r="M103">
            <v>3202.6</v>
          </cell>
        </row>
        <row r="104">
          <cell r="G104">
            <v>5</v>
          </cell>
          <cell r="H104">
            <v>1800</v>
          </cell>
          <cell r="I104">
            <v>0.05</v>
          </cell>
          <cell r="K104">
            <v>8550</v>
          </cell>
          <cell r="L104">
            <v>5840.91</v>
          </cell>
          <cell r="M104">
            <v>2709.09</v>
          </cell>
        </row>
        <row r="105">
          <cell r="G105">
            <v>2</v>
          </cell>
          <cell r="H105">
            <v>2200</v>
          </cell>
          <cell r="I105">
            <v>0</v>
          </cell>
          <cell r="K105">
            <v>4400</v>
          </cell>
          <cell r="L105">
            <v>2767.93</v>
          </cell>
          <cell r="M105">
            <v>1632.07</v>
          </cell>
        </row>
        <row r="106">
          <cell r="G106">
            <v>3</v>
          </cell>
          <cell r="H106">
            <v>1800</v>
          </cell>
          <cell r="I106">
            <v>0</v>
          </cell>
          <cell r="K106">
            <v>5400</v>
          </cell>
          <cell r="L106">
            <v>3659.92</v>
          </cell>
          <cell r="M106">
            <v>1740.08</v>
          </cell>
        </row>
        <row r="107">
          <cell r="G107">
            <v>1</v>
          </cell>
          <cell r="H107">
            <v>15000</v>
          </cell>
          <cell r="I107">
            <v>0.15</v>
          </cell>
          <cell r="K107">
            <v>12750</v>
          </cell>
          <cell r="L107">
            <v>9115.9599999999991</v>
          </cell>
          <cell r="M107">
            <v>3634.04</v>
          </cell>
        </row>
        <row r="108">
          <cell r="G108">
            <v>2</v>
          </cell>
          <cell r="H108">
            <v>28000</v>
          </cell>
          <cell r="I108">
            <v>0</v>
          </cell>
          <cell r="K108">
            <v>56000</v>
          </cell>
          <cell r="L108">
            <v>34774.46</v>
          </cell>
          <cell r="M108">
            <v>21225.54</v>
          </cell>
        </row>
        <row r="109">
          <cell r="G109">
            <v>3</v>
          </cell>
          <cell r="H109">
            <v>11000</v>
          </cell>
          <cell r="I109">
            <v>0.1</v>
          </cell>
          <cell r="K109">
            <v>29700</v>
          </cell>
          <cell r="L109">
            <v>22988.43</v>
          </cell>
          <cell r="M109">
            <v>6711.57</v>
          </cell>
        </row>
        <row r="110">
          <cell r="G110">
            <v>3</v>
          </cell>
          <cell r="H110">
            <v>15000</v>
          </cell>
          <cell r="I110">
            <v>0</v>
          </cell>
          <cell r="K110">
            <v>45000</v>
          </cell>
          <cell r="L110">
            <v>29971.95</v>
          </cell>
          <cell r="M110">
            <v>15028.05</v>
          </cell>
        </row>
        <row r="111">
          <cell r="G111">
            <v>2</v>
          </cell>
          <cell r="H111">
            <v>15000</v>
          </cell>
          <cell r="I111">
            <v>0.15</v>
          </cell>
          <cell r="K111">
            <v>25500</v>
          </cell>
          <cell r="L111">
            <v>20400.52</v>
          </cell>
          <cell r="M111">
            <v>5099.4799999999996</v>
          </cell>
        </row>
        <row r="112">
          <cell r="G112">
            <v>1</v>
          </cell>
          <cell r="H112">
            <v>11000</v>
          </cell>
          <cell r="I112">
            <v>0.05</v>
          </cell>
          <cell r="K112">
            <v>10450</v>
          </cell>
          <cell r="L112">
            <v>7208.06</v>
          </cell>
          <cell r="M112">
            <v>3241.94</v>
          </cell>
        </row>
        <row r="113">
          <cell r="G113">
            <v>3</v>
          </cell>
          <cell r="H113">
            <v>55000</v>
          </cell>
          <cell r="I113">
            <v>0.1</v>
          </cell>
          <cell r="K113">
            <v>148500</v>
          </cell>
          <cell r="L113">
            <v>100637.73</v>
          </cell>
          <cell r="M113">
            <v>47862.27</v>
          </cell>
        </row>
        <row r="114">
          <cell r="G114">
            <v>3</v>
          </cell>
          <cell r="H114">
            <v>3500</v>
          </cell>
          <cell r="I114">
            <v>0</v>
          </cell>
          <cell r="K114">
            <v>10500</v>
          </cell>
          <cell r="L114">
            <v>7675.21</v>
          </cell>
          <cell r="M114">
            <v>2824.79</v>
          </cell>
        </row>
        <row r="115">
          <cell r="G115">
            <v>1</v>
          </cell>
          <cell r="H115">
            <v>1200</v>
          </cell>
          <cell r="I115">
            <v>0.1</v>
          </cell>
          <cell r="K115">
            <v>1080</v>
          </cell>
          <cell r="L115">
            <v>815.6</v>
          </cell>
          <cell r="M115">
            <v>264.39999999999998</v>
          </cell>
        </row>
        <row r="116">
          <cell r="G116">
            <v>5</v>
          </cell>
          <cell r="H116">
            <v>1800</v>
          </cell>
          <cell r="I116">
            <v>0</v>
          </cell>
          <cell r="K116">
            <v>9000</v>
          </cell>
          <cell r="L116">
            <v>5780.13</v>
          </cell>
          <cell r="M116">
            <v>3219.87</v>
          </cell>
        </row>
        <row r="117">
          <cell r="G117">
            <v>4</v>
          </cell>
          <cell r="H117">
            <v>55000</v>
          </cell>
          <cell r="I117">
            <v>0.05</v>
          </cell>
          <cell r="K117">
            <v>209000</v>
          </cell>
          <cell r="L117">
            <v>141232.09</v>
          </cell>
          <cell r="M117">
            <v>67767.91</v>
          </cell>
        </row>
        <row r="118">
          <cell r="G118">
            <v>5</v>
          </cell>
          <cell r="H118">
            <v>1200</v>
          </cell>
          <cell r="I118">
            <v>0</v>
          </cell>
          <cell r="K118">
            <v>6000</v>
          </cell>
          <cell r="L118">
            <v>3848.66</v>
          </cell>
          <cell r="M118">
            <v>2151.34</v>
          </cell>
        </row>
        <row r="119">
          <cell r="G119">
            <v>5</v>
          </cell>
          <cell r="H119">
            <v>55000</v>
          </cell>
          <cell r="I119">
            <v>0.15</v>
          </cell>
          <cell r="K119">
            <v>233750</v>
          </cell>
          <cell r="L119">
            <v>178117.72</v>
          </cell>
          <cell r="M119">
            <v>55632.28</v>
          </cell>
        </row>
        <row r="120">
          <cell r="G120">
            <v>5</v>
          </cell>
          <cell r="H120">
            <v>1800</v>
          </cell>
          <cell r="I120">
            <v>0</v>
          </cell>
          <cell r="K120">
            <v>9000</v>
          </cell>
          <cell r="L120">
            <v>6487.26</v>
          </cell>
          <cell r="M120">
            <v>2512.7399999999998</v>
          </cell>
        </row>
        <row r="121">
          <cell r="G121">
            <v>1</v>
          </cell>
          <cell r="H121">
            <v>28000</v>
          </cell>
          <cell r="I121">
            <v>0</v>
          </cell>
          <cell r="K121">
            <v>28000</v>
          </cell>
          <cell r="L121">
            <v>19954.34</v>
          </cell>
          <cell r="M121">
            <v>8045.66</v>
          </cell>
        </row>
        <row r="122">
          <cell r="G122">
            <v>4</v>
          </cell>
          <cell r="H122">
            <v>1800</v>
          </cell>
          <cell r="I122">
            <v>0.05</v>
          </cell>
          <cell r="K122">
            <v>6840</v>
          </cell>
          <cell r="L122">
            <v>5185.6499999999996</v>
          </cell>
          <cell r="M122">
            <v>1654.35</v>
          </cell>
        </row>
        <row r="123">
          <cell r="G123">
            <v>2</v>
          </cell>
          <cell r="H123">
            <v>55000</v>
          </cell>
          <cell r="I123">
            <v>0.05</v>
          </cell>
          <cell r="K123">
            <v>104500</v>
          </cell>
          <cell r="L123">
            <v>84773.39</v>
          </cell>
          <cell r="M123">
            <v>19726.61</v>
          </cell>
        </row>
        <row r="124">
          <cell r="G124">
            <v>1</v>
          </cell>
          <cell r="H124">
            <v>12000</v>
          </cell>
          <cell r="I124">
            <v>0.15</v>
          </cell>
          <cell r="K124">
            <v>10200</v>
          </cell>
          <cell r="L124">
            <v>8282.43</v>
          </cell>
          <cell r="M124">
            <v>1917.57</v>
          </cell>
        </row>
        <row r="125">
          <cell r="G125">
            <v>1</v>
          </cell>
          <cell r="H125">
            <v>15000</v>
          </cell>
          <cell r="I125">
            <v>0</v>
          </cell>
          <cell r="K125">
            <v>15000</v>
          </cell>
          <cell r="L125">
            <v>11807.29</v>
          </cell>
          <cell r="M125">
            <v>3192.71</v>
          </cell>
        </row>
        <row r="126">
          <cell r="G126">
            <v>5</v>
          </cell>
          <cell r="H126">
            <v>12000</v>
          </cell>
          <cell r="I126">
            <v>0</v>
          </cell>
          <cell r="K126">
            <v>60000</v>
          </cell>
          <cell r="L126">
            <v>39763.550000000003</v>
          </cell>
          <cell r="M126">
            <v>20236.45</v>
          </cell>
        </row>
        <row r="127">
          <cell r="G127">
            <v>5</v>
          </cell>
          <cell r="H127">
            <v>1200</v>
          </cell>
          <cell r="I127">
            <v>0.05</v>
          </cell>
          <cell r="K127">
            <v>5700</v>
          </cell>
          <cell r="L127">
            <v>3590.2</v>
          </cell>
          <cell r="M127">
            <v>2109.8000000000002</v>
          </cell>
        </row>
        <row r="128">
          <cell r="G128">
            <v>1</v>
          </cell>
          <cell r="H128">
            <v>11000</v>
          </cell>
          <cell r="I128">
            <v>0.1</v>
          </cell>
          <cell r="K128">
            <v>9900</v>
          </cell>
          <cell r="L128">
            <v>6463.31</v>
          </cell>
          <cell r="M128">
            <v>3436.69</v>
          </cell>
        </row>
        <row r="129">
          <cell r="G129">
            <v>5</v>
          </cell>
          <cell r="H129">
            <v>55000</v>
          </cell>
          <cell r="I129">
            <v>0.05</v>
          </cell>
          <cell r="K129">
            <v>261250</v>
          </cell>
          <cell r="L129">
            <v>177856.3</v>
          </cell>
          <cell r="M129">
            <v>83393.7</v>
          </cell>
        </row>
        <row r="130">
          <cell r="G130">
            <v>1</v>
          </cell>
          <cell r="H130">
            <v>12000</v>
          </cell>
          <cell r="I130">
            <v>0</v>
          </cell>
          <cell r="K130">
            <v>12000</v>
          </cell>
          <cell r="L130">
            <v>8644.42</v>
          </cell>
          <cell r="M130">
            <v>3355.58</v>
          </cell>
        </row>
        <row r="131">
          <cell r="G131">
            <v>4</v>
          </cell>
          <cell r="H131">
            <v>1800</v>
          </cell>
          <cell r="I131">
            <v>0</v>
          </cell>
          <cell r="K131">
            <v>7200</v>
          </cell>
          <cell r="L131">
            <v>5534.62</v>
          </cell>
          <cell r="M131">
            <v>1665.38</v>
          </cell>
        </row>
        <row r="132">
          <cell r="G132">
            <v>5</v>
          </cell>
          <cell r="H132">
            <v>1800</v>
          </cell>
          <cell r="I132">
            <v>0</v>
          </cell>
          <cell r="K132">
            <v>9000</v>
          </cell>
          <cell r="L132">
            <v>6798.49</v>
          </cell>
          <cell r="M132">
            <v>2201.5100000000002</v>
          </cell>
        </row>
        <row r="133">
          <cell r="G133">
            <v>2</v>
          </cell>
          <cell r="H133">
            <v>8500</v>
          </cell>
          <cell r="I133">
            <v>0</v>
          </cell>
          <cell r="K133">
            <v>17000</v>
          </cell>
          <cell r="L133">
            <v>13922.24</v>
          </cell>
          <cell r="M133">
            <v>3077.76</v>
          </cell>
        </row>
        <row r="134">
          <cell r="G134">
            <v>2</v>
          </cell>
          <cell r="H134">
            <v>1800</v>
          </cell>
          <cell r="I134">
            <v>0.1</v>
          </cell>
          <cell r="K134">
            <v>3240</v>
          </cell>
          <cell r="L134">
            <v>2439.9699999999998</v>
          </cell>
          <cell r="M134">
            <v>800.03</v>
          </cell>
        </row>
      </sheetData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9301863-7992-49D7-9624-BFB8F235649B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Order Date" tableColumnId="2"/>
      <queryTableField id="3" name="Customer Name" tableColumnId="3"/>
      <queryTableField id="4" name="Product" tableColumnId="4"/>
      <queryTableField id="5" name="Category" tableColumnId="5"/>
      <queryTableField id="6" name="Region" tableColumnId="6"/>
      <queryTableField id="7" name="Quantity" tableColumnId="7"/>
      <queryTableField id="8" name="List Price" tableColumnId="8"/>
      <queryTableField id="9" name="Discount" tableColumnId="9"/>
      <queryTableField id="10" name="Unit Price" tableColumnId="10"/>
      <queryTableField id="11" name="Sales" tableColumnId="11"/>
      <queryTableField id="12" name="Cost" tableColumnId="12"/>
      <queryTableField id="13" name="Profit" tableColumnId="13"/>
      <queryTableField id="14" name="Salesperson" tableColumnId="14"/>
      <queryTableField id="15" name="Month" tableColumnId="15"/>
      <queryTableField id="16" name="Month Number" tableColumnId="16"/>
      <queryTableField id="17" name="Profit Margin %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2E1B31-A306-425E-AFCA-0C90ECFCED08}" name="task_16" displayName="task_16" ref="A3:Q136" tableType="queryTable" totalsRowShown="0" headerRowDxfId="33">
  <tableColumns count="17">
    <tableColumn id="1" xr3:uid="{415AF9F2-8973-41EA-AB7E-76E5E3F8019B}" uniqueName="1" name="Order ID" queryTableFieldId="1" dataDxfId="32"/>
    <tableColumn id="2" xr3:uid="{FF496715-941F-4CEF-9F23-00D955E45503}" uniqueName="2" name="Order Date" queryTableFieldId="2" dataDxfId="31"/>
    <tableColumn id="3" xr3:uid="{D0100D04-1095-4B05-976E-C0F2E4E2A68B}" uniqueName="3" name="Customer Name" queryTableFieldId="3" dataDxfId="30"/>
    <tableColumn id="4" xr3:uid="{944A8FA5-A59D-4AD1-8621-B2F0FE3055BF}" uniqueName="4" name="Product" queryTableFieldId="4" dataDxfId="29"/>
    <tableColumn id="5" xr3:uid="{7C8947AD-3DB6-47AC-A8BB-79B19CC8EAE5}" uniqueName="5" name="Category" queryTableFieldId="5" dataDxfId="28"/>
    <tableColumn id="6" xr3:uid="{D9138051-B52C-4413-8369-A7145E6E629F}" uniqueName="6" name="Region" queryTableFieldId="6" dataDxfId="27"/>
    <tableColumn id="7" xr3:uid="{73C28796-92A2-4CBB-A313-9351DE22A0CC}" uniqueName="7" name="Quantity" queryTableFieldId="7"/>
    <tableColumn id="8" xr3:uid="{FA0E422E-4AF1-48D4-BA6F-E0E4E0FB4F7B}" uniqueName="8" name="List Price" queryTableFieldId="8"/>
    <tableColumn id="9" xr3:uid="{EFECC6F9-D583-4078-983C-831AF948E855}" uniqueName="9" name="Discount" queryTableFieldId="9"/>
    <tableColumn id="10" xr3:uid="{4CBD15E9-5C3E-4D64-8981-BC1CFFB8D30F}" uniqueName="10" name="Unit Price" queryTableFieldId="10"/>
    <tableColumn id="11" xr3:uid="{3D2CB7D0-85EC-4E37-A111-94009F0C3615}" uniqueName="11" name="Sales" queryTableFieldId="11"/>
    <tableColumn id="12" xr3:uid="{659A653D-B3AB-4F14-B13F-1432E0E817FE}" uniqueName="12" name="Cost" queryTableFieldId="12"/>
    <tableColumn id="13" xr3:uid="{F36C57BC-4FE0-44E3-90DF-6C9873D627B4}" uniqueName="13" name="Profit" queryTableFieldId="13"/>
    <tableColumn id="14" xr3:uid="{FF23D204-CC45-4327-91C8-6DB9A2DB1D18}" uniqueName="14" name="Salesperson" queryTableFieldId="14" dataDxfId="26"/>
    <tableColumn id="15" xr3:uid="{68CE0010-7211-4B41-9B55-F01B5378A575}" uniqueName="15" name="Month" queryTableFieldId="15" dataDxfId="25"/>
    <tableColumn id="16" xr3:uid="{E2337CEA-3848-48BF-8CB6-B5A19345C325}" uniqueName="16" name="Month Number" queryTableFieldId="16"/>
    <tableColumn id="17" xr3:uid="{2C9DE9AE-C60E-4150-8F0A-A42A77314CC8}" uniqueName="17" name="Profit Margin %" queryTableFieldId="17" dataDxfId="24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FB56CA-A29B-4B52-AFDB-F1E321B8CC47}" name="Table2" displayName="Table2" ref="A3:B9" totalsRowShown="0" headerRowDxfId="23" tableBorderDxfId="21">
  <tableColumns count="2">
    <tableColumn id="1" xr3:uid="{C6F0CCCD-A372-46D7-A684-3F5AC9A31B1E}" name="Metric"/>
    <tableColumn id="2" xr3:uid="{C65A9D06-F38E-4CBE-AF7C-D824BA74FED7}" name="Value" dataDxfId="20">
      <calculatedColumnFormula>SUM(#REF!)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0F2AE8-E75B-42E6-BEB0-9A4C54FB7F70}" name="Table3" displayName="Table3" ref="A13:E16" totalsRowShown="0" headerRowDxfId="22" tableBorderDxfId="19">
  <tableColumns count="5">
    <tableColumn id="1" xr3:uid="{9D890416-F707-4F9C-820D-E8315E932F98}" name="Category" dataDxfId="18"/>
    <tableColumn id="2" xr3:uid="{28064555-CD60-4507-8B19-706D85B2B268}" name="Revenue" dataDxfId="17">
      <calculatedColumnFormula>SUMIF(#REF!,A14,#REF!)</calculatedColumnFormula>
    </tableColumn>
    <tableColumn id="3" xr3:uid="{52FF3446-0206-4DEE-94C7-EC7778D05B99}" name="Cost" dataDxfId="16">
      <calculatedColumnFormula>SUMIF(#REF!,A14,#REF!)</calculatedColumnFormula>
    </tableColumn>
    <tableColumn id="4" xr3:uid="{C8080038-3F7F-4BDE-B2B8-5C40F92430A0}" name="Profit" dataDxfId="15">
      <calculatedColumnFormula>SUMIF(#REF!,A14,#REF!)</calculatedColumnFormula>
    </tableColumn>
    <tableColumn id="5" xr3:uid="{592F469B-1881-4FDB-B399-07341CD126AA}" name="Profit Margin %" dataDxfId="14" dataCellStyle="Percent">
      <calculatedColumnFormula>IF(B14=0,0,D14/B14)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EDED73-26FE-4ECB-8077-F7FF832E6411}" name="Table4" displayName="Table4" ref="A3:E7" totalsRowShown="0" headerRowDxfId="13" tableBorderDxfId="12">
  <tableColumns count="5">
    <tableColumn id="1" xr3:uid="{40063C86-745A-4FAF-A077-C8AFB282FEDC}" name="Region"/>
    <tableColumn id="2" xr3:uid="{5875D802-2D57-40A9-B19E-1B92367FE82B}" name="Revenue" dataDxfId="3">
      <calculatedColumnFormula>SUMIF(#REF!,A4,#REF!)</calculatedColumnFormula>
    </tableColumn>
    <tableColumn id="3" xr3:uid="{2564D555-A78C-48F4-8A7A-C42BBD015B3E}" name="Cost" dataDxfId="2">
      <calculatedColumnFormula>SUMIF(#REF!,A4,#REF!)</calculatedColumnFormula>
    </tableColumn>
    <tableColumn id="4" xr3:uid="{8FE0D9E9-4919-409C-BA1A-4EFA0D6D7698}" name="Profit" dataDxfId="0">
      <calculatedColumnFormula>SUMIF(#REF!,A4,#REF!)</calculatedColumnFormula>
    </tableColumn>
    <tableColumn id="5" xr3:uid="{B8347A4B-C607-4EDA-A561-29E5B8F90CB0}" name="Profit Margin %" dataDxfId="1" dataCellStyle="Percent">
      <calculatedColumnFormula>IF(B4=0,0,D4/B4)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3A4CA4-64DA-4D2F-9961-84D3E8E4B731}" name="Table5" displayName="Table5" ref="A3:E13" totalsRowShown="0" headerRowDxfId="11" tableBorderDxfId="10">
  <autoFilter ref="A3:E13" xr:uid="{D53A4CA4-64DA-4D2F-9961-84D3E8E4B731}"/>
  <sortState xmlns:xlrd2="http://schemas.microsoft.com/office/spreadsheetml/2017/richdata2" ref="A4:E13">
    <sortCondition descending="1" ref="D3:D13"/>
  </sortState>
  <tableColumns count="5">
    <tableColumn id="1" xr3:uid="{CDC5CDAD-E6E9-476D-97A6-7BC66D35990D}" name="Product"/>
    <tableColumn id="2" xr3:uid="{D5877B52-8E37-4475-A40B-FE26B99FD4FA}" name="Revenue" dataDxfId="9">
      <calculatedColumnFormula>SUMIF(#REF!,A4,#REF!)</calculatedColumnFormula>
    </tableColumn>
    <tableColumn id="3" xr3:uid="{FFA8A5E1-DC3C-4579-A333-23064E2D7D82}" name="Cost" dataDxfId="8">
      <calculatedColumnFormula>SUMIF(#REF!,A4,#REF!)</calculatedColumnFormula>
    </tableColumn>
    <tableColumn id="4" xr3:uid="{9CA975F5-AA86-4DF1-8730-C471199F9233}" name="Profit" dataDxfId="7">
      <calculatedColumnFormula>SUMIF(#REF!,A4,#REF!)</calculatedColumnFormula>
    </tableColumn>
    <tableColumn id="5" xr3:uid="{C69D8135-233A-491F-AE33-F4868BE8977E}" name="Profit Margin %" dataDxfId="6" dataCellStyle="Percent">
      <calculatedColumnFormula>IF(B4=0,0,D4/B4)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DA8725-BCB8-48D7-8529-7B7B412C084F}" name="Table6" displayName="Table6" ref="B4:C7" totalsRowShown="0" headerRowDxfId="5" tableBorderDxfId="4">
  <tableColumns count="2">
    <tableColumn id="1" xr3:uid="{062D36C3-61A9-44B2-B7C8-56EA03115AE0}" name="Metric"/>
    <tableColumn id="2" xr3:uid="{CB1F2A3A-F827-43EA-8DF5-D5707F1DCE56}" name="Avail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A393-A2BA-46B5-BF8E-2A6C82B24FBA}">
  <dimension ref="A3:Q136"/>
  <sheetViews>
    <sheetView workbookViewId="0">
      <selection activeCell="A4" sqref="A4"/>
    </sheetView>
  </sheetViews>
  <sheetFormatPr defaultRowHeight="14.4" x14ac:dyDescent="0.3"/>
  <cols>
    <col min="1" max="1" width="19.44140625" customWidth="1"/>
    <col min="2" max="2" width="25.5546875" customWidth="1"/>
    <col min="3" max="3" width="19.77734375" customWidth="1"/>
    <col min="4" max="4" width="16.21875" customWidth="1"/>
    <col min="5" max="5" width="16.6640625" customWidth="1"/>
    <col min="6" max="6" width="11.6640625" customWidth="1"/>
    <col min="7" max="7" width="14.33203125" customWidth="1"/>
    <col min="8" max="8" width="14.109375" customWidth="1"/>
    <col min="9" max="9" width="13.44140625" customWidth="1"/>
    <col min="10" max="10" width="13.21875" customWidth="1"/>
    <col min="11" max="11" width="13.5546875" customWidth="1"/>
    <col min="12" max="12" width="12.88671875" customWidth="1"/>
    <col min="13" max="13" width="15.109375" customWidth="1"/>
    <col min="14" max="14" width="13.21875" customWidth="1"/>
    <col min="15" max="15" width="13.44140625" customWidth="1"/>
    <col min="16" max="16" width="19.5546875" customWidth="1"/>
    <col min="17" max="17" width="18" customWidth="1"/>
  </cols>
  <sheetData>
    <row r="3" spans="1:17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4" t="s">
        <v>16</v>
      </c>
    </row>
    <row r="4" spans="1:17" x14ac:dyDescent="0.3">
      <c r="A4" t="s">
        <v>17</v>
      </c>
      <c r="B4" s="2">
        <v>46114.39166666667</v>
      </c>
      <c r="C4" t="s">
        <v>18</v>
      </c>
      <c r="D4" t="s">
        <v>19</v>
      </c>
      <c r="E4" t="s">
        <v>20</v>
      </c>
      <c r="F4" t="s">
        <v>21</v>
      </c>
      <c r="G4">
        <v>4</v>
      </c>
      <c r="H4">
        <v>15000</v>
      </c>
      <c r="I4">
        <v>0.1</v>
      </c>
      <c r="J4">
        <v>13500</v>
      </c>
      <c r="K4">
        <v>54000</v>
      </c>
      <c r="L4">
        <v>37739.800000000003</v>
      </c>
      <c r="M4">
        <v>16260.2</v>
      </c>
      <c r="N4" t="s">
        <v>22</v>
      </c>
      <c r="O4" t="s">
        <v>23</v>
      </c>
      <c r="P4">
        <v>4</v>
      </c>
      <c r="Q4" s="1">
        <v>0.30111481481481484</v>
      </c>
    </row>
    <row r="5" spans="1:17" x14ac:dyDescent="0.3">
      <c r="A5" t="s">
        <v>24</v>
      </c>
      <c r="B5" s="2">
        <v>46116.579861111109</v>
      </c>
      <c r="C5" t="s">
        <v>25</v>
      </c>
      <c r="D5" t="s">
        <v>26</v>
      </c>
      <c r="E5" t="s">
        <v>27</v>
      </c>
      <c r="F5" t="s">
        <v>28</v>
      </c>
      <c r="G5">
        <v>5</v>
      </c>
      <c r="H5">
        <v>1200</v>
      </c>
      <c r="I5">
        <v>0.15</v>
      </c>
      <c r="J5">
        <v>1020</v>
      </c>
      <c r="K5">
        <v>5100</v>
      </c>
      <c r="L5">
        <v>3541.19</v>
      </c>
      <c r="M5">
        <v>1558.81</v>
      </c>
      <c r="N5" t="s">
        <v>29</v>
      </c>
      <c r="O5" t="s">
        <v>23</v>
      </c>
      <c r="P5">
        <v>4</v>
      </c>
      <c r="Q5" s="1">
        <v>0.30564901960784313</v>
      </c>
    </row>
    <row r="6" spans="1:17" x14ac:dyDescent="0.3">
      <c r="A6" t="s">
        <v>30</v>
      </c>
      <c r="B6" s="2">
        <v>46118.459722222222</v>
      </c>
      <c r="C6" t="s">
        <v>31</v>
      </c>
      <c r="D6" t="s">
        <v>32</v>
      </c>
      <c r="E6" t="s">
        <v>20</v>
      </c>
      <c r="F6" t="s">
        <v>33</v>
      </c>
      <c r="G6">
        <v>1</v>
      </c>
      <c r="H6">
        <v>55000</v>
      </c>
      <c r="I6">
        <v>0.05</v>
      </c>
      <c r="J6">
        <v>52250</v>
      </c>
      <c r="K6">
        <v>52250</v>
      </c>
      <c r="L6">
        <v>37092.49</v>
      </c>
      <c r="M6">
        <v>15157.51</v>
      </c>
      <c r="N6" t="s">
        <v>29</v>
      </c>
      <c r="O6" t="s">
        <v>23</v>
      </c>
      <c r="P6">
        <v>4</v>
      </c>
      <c r="Q6" s="1">
        <v>0.2900958851674641</v>
      </c>
    </row>
    <row r="7" spans="1:17" x14ac:dyDescent="0.3">
      <c r="A7" t="s">
        <v>34</v>
      </c>
      <c r="B7" s="2">
        <v>46119.460416666669</v>
      </c>
      <c r="C7" t="s">
        <v>35</v>
      </c>
      <c r="D7" t="s">
        <v>36</v>
      </c>
      <c r="E7" t="s">
        <v>37</v>
      </c>
      <c r="F7" t="s">
        <v>38</v>
      </c>
      <c r="G7">
        <v>5</v>
      </c>
      <c r="H7">
        <v>12000</v>
      </c>
      <c r="I7">
        <v>0.05</v>
      </c>
      <c r="J7">
        <v>11400</v>
      </c>
      <c r="K7">
        <v>57000</v>
      </c>
      <c r="L7">
        <v>36885.94</v>
      </c>
      <c r="M7">
        <v>20114.060000000001</v>
      </c>
      <c r="N7" t="s">
        <v>39</v>
      </c>
      <c r="O7" t="s">
        <v>23</v>
      </c>
      <c r="P7">
        <v>4</v>
      </c>
      <c r="Q7" s="1">
        <v>0.35287824561403514</v>
      </c>
    </row>
    <row r="8" spans="1:17" x14ac:dyDescent="0.3">
      <c r="A8" t="s">
        <v>40</v>
      </c>
      <c r="B8" s="2">
        <v>46119.836111111108</v>
      </c>
      <c r="C8" t="s">
        <v>41</v>
      </c>
      <c r="D8" t="s">
        <v>42</v>
      </c>
      <c r="E8" t="s">
        <v>27</v>
      </c>
      <c r="F8" t="s">
        <v>33</v>
      </c>
      <c r="G8">
        <v>4</v>
      </c>
      <c r="H8">
        <v>1800</v>
      </c>
      <c r="I8">
        <v>0</v>
      </c>
      <c r="J8">
        <v>1800</v>
      </c>
      <c r="K8">
        <v>7200</v>
      </c>
      <c r="L8">
        <v>5705.1</v>
      </c>
      <c r="M8">
        <v>1494.9</v>
      </c>
      <c r="N8" t="s">
        <v>29</v>
      </c>
      <c r="O8" t="s">
        <v>23</v>
      </c>
      <c r="P8">
        <v>4</v>
      </c>
      <c r="Q8" s="1">
        <v>0.207625</v>
      </c>
    </row>
    <row r="9" spans="1:17" x14ac:dyDescent="0.3">
      <c r="A9" t="s">
        <v>43</v>
      </c>
      <c r="B9" s="2">
        <v>46120.674305555556</v>
      </c>
      <c r="C9" t="s">
        <v>44</v>
      </c>
      <c r="D9" t="s">
        <v>45</v>
      </c>
      <c r="E9" t="s">
        <v>27</v>
      </c>
      <c r="F9" t="s">
        <v>38</v>
      </c>
      <c r="G9">
        <v>1</v>
      </c>
      <c r="H9">
        <v>2200</v>
      </c>
      <c r="I9">
        <v>0</v>
      </c>
      <c r="J9">
        <v>2200</v>
      </c>
      <c r="K9">
        <v>2200</v>
      </c>
      <c r="L9">
        <v>1464.19</v>
      </c>
      <c r="M9">
        <v>735.81</v>
      </c>
      <c r="N9" t="s">
        <v>29</v>
      </c>
      <c r="O9" t="s">
        <v>23</v>
      </c>
      <c r="P9">
        <v>4</v>
      </c>
      <c r="Q9" s="1">
        <v>0.33445909090909087</v>
      </c>
    </row>
    <row r="10" spans="1:17" x14ac:dyDescent="0.3">
      <c r="A10" t="s">
        <v>46</v>
      </c>
      <c r="B10" s="2">
        <v>46120.497916666667</v>
      </c>
      <c r="C10" t="s">
        <v>47</v>
      </c>
      <c r="D10" t="s">
        <v>36</v>
      </c>
      <c r="E10" t="s">
        <v>37</v>
      </c>
      <c r="F10" t="s">
        <v>33</v>
      </c>
      <c r="G10">
        <v>2</v>
      </c>
      <c r="H10">
        <v>12000</v>
      </c>
      <c r="I10">
        <v>0</v>
      </c>
      <c r="J10">
        <v>12000</v>
      </c>
      <c r="K10">
        <v>24000</v>
      </c>
      <c r="L10">
        <v>16905.36</v>
      </c>
      <c r="M10">
        <v>7094.64</v>
      </c>
      <c r="N10" t="s">
        <v>39</v>
      </c>
      <c r="O10" t="s">
        <v>23</v>
      </c>
      <c r="P10">
        <v>4</v>
      </c>
      <c r="Q10" s="1">
        <v>0.29561000000000004</v>
      </c>
    </row>
    <row r="11" spans="1:17" x14ac:dyDescent="0.3">
      <c r="A11" t="s">
        <v>48</v>
      </c>
      <c r="B11" s="2">
        <v>46121.667361111111</v>
      </c>
      <c r="C11" t="s">
        <v>49</v>
      </c>
      <c r="D11" t="s">
        <v>50</v>
      </c>
      <c r="E11" t="s">
        <v>20</v>
      </c>
      <c r="F11" t="s">
        <v>38</v>
      </c>
      <c r="G11">
        <v>4</v>
      </c>
      <c r="H11">
        <v>11000</v>
      </c>
      <c r="I11">
        <v>0.15</v>
      </c>
      <c r="J11">
        <v>9350</v>
      </c>
      <c r="K11">
        <v>37400</v>
      </c>
      <c r="L11">
        <v>27459.43</v>
      </c>
      <c r="M11">
        <v>9940.57</v>
      </c>
      <c r="N11" t="s">
        <v>51</v>
      </c>
      <c r="O11" t="s">
        <v>23</v>
      </c>
      <c r="P11">
        <v>4</v>
      </c>
      <c r="Q11" s="1">
        <v>0.26579064171122996</v>
      </c>
    </row>
    <row r="12" spans="1:17" x14ac:dyDescent="0.3">
      <c r="A12" t="s">
        <v>52</v>
      </c>
      <c r="B12" s="2">
        <v>46121.702777777777</v>
      </c>
      <c r="C12" t="s">
        <v>53</v>
      </c>
      <c r="D12" t="s">
        <v>26</v>
      </c>
      <c r="E12" t="s">
        <v>27</v>
      </c>
      <c r="F12" t="s">
        <v>28</v>
      </c>
      <c r="G12">
        <v>5</v>
      </c>
      <c r="H12">
        <v>1200</v>
      </c>
      <c r="I12">
        <v>0.05</v>
      </c>
      <c r="J12">
        <v>1140</v>
      </c>
      <c r="K12">
        <v>5700</v>
      </c>
      <c r="L12">
        <v>4553.41</v>
      </c>
      <c r="M12">
        <v>1146.5899999999999</v>
      </c>
      <c r="N12" t="s">
        <v>39</v>
      </c>
      <c r="O12" t="s">
        <v>23</v>
      </c>
      <c r="P12">
        <v>4</v>
      </c>
      <c r="Q12" s="1">
        <v>0.20115614035087717</v>
      </c>
    </row>
    <row r="13" spans="1:17" x14ac:dyDescent="0.3">
      <c r="A13" t="s">
        <v>54</v>
      </c>
      <c r="B13" s="2">
        <v>46122.620138888888</v>
      </c>
      <c r="C13" t="s">
        <v>55</v>
      </c>
      <c r="D13" t="s">
        <v>50</v>
      </c>
      <c r="E13" t="s">
        <v>20</v>
      </c>
      <c r="F13" t="s">
        <v>33</v>
      </c>
      <c r="G13">
        <v>5</v>
      </c>
      <c r="H13">
        <v>11000</v>
      </c>
      <c r="I13">
        <v>0.1</v>
      </c>
      <c r="J13">
        <v>9900</v>
      </c>
      <c r="K13">
        <v>49500</v>
      </c>
      <c r="L13">
        <v>33034.32</v>
      </c>
      <c r="M13">
        <v>16465.68</v>
      </c>
      <c r="N13" t="s">
        <v>22</v>
      </c>
      <c r="O13" t="s">
        <v>23</v>
      </c>
      <c r="P13">
        <v>4</v>
      </c>
      <c r="Q13" s="1">
        <v>0.33263999999999999</v>
      </c>
    </row>
    <row r="14" spans="1:17" x14ac:dyDescent="0.3">
      <c r="A14" t="s">
        <v>56</v>
      </c>
      <c r="B14" s="2">
        <v>46123.40625</v>
      </c>
      <c r="C14" t="s">
        <v>57</v>
      </c>
      <c r="D14" t="s">
        <v>45</v>
      </c>
      <c r="E14" t="s">
        <v>27</v>
      </c>
      <c r="F14" t="s">
        <v>38</v>
      </c>
      <c r="G14">
        <v>5</v>
      </c>
      <c r="H14">
        <v>2200</v>
      </c>
      <c r="I14">
        <v>0</v>
      </c>
      <c r="J14">
        <v>2200</v>
      </c>
      <c r="K14">
        <v>11000</v>
      </c>
      <c r="L14">
        <v>8101.6</v>
      </c>
      <c r="M14">
        <v>2898.4</v>
      </c>
      <c r="N14" t="s">
        <v>58</v>
      </c>
      <c r="O14" t="s">
        <v>23</v>
      </c>
      <c r="P14">
        <v>4</v>
      </c>
      <c r="Q14" s="1">
        <v>0.26349090909090911</v>
      </c>
    </row>
    <row r="15" spans="1:17" x14ac:dyDescent="0.3">
      <c r="A15" t="s">
        <v>59</v>
      </c>
      <c r="B15" s="2">
        <v>46123.470138888886</v>
      </c>
      <c r="C15" t="s">
        <v>60</v>
      </c>
      <c r="D15" t="s">
        <v>42</v>
      </c>
      <c r="E15" t="s">
        <v>27</v>
      </c>
      <c r="F15" t="s">
        <v>28</v>
      </c>
      <c r="G15">
        <v>1</v>
      </c>
      <c r="H15">
        <v>1800</v>
      </c>
      <c r="I15">
        <v>0</v>
      </c>
      <c r="J15">
        <v>1800</v>
      </c>
      <c r="K15">
        <v>1800</v>
      </c>
      <c r="L15">
        <v>1426.86</v>
      </c>
      <c r="M15">
        <v>373.14</v>
      </c>
      <c r="N15" t="s">
        <v>61</v>
      </c>
      <c r="O15" t="s">
        <v>23</v>
      </c>
      <c r="P15">
        <v>4</v>
      </c>
      <c r="Q15" s="1">
        <v>0.20729999999999998</v>
      </c>
    </row>
    <row r="16" spans="1:17" x14ac:dyDescent="0.3">
      <c r="A16" t="s">
        <v>62</v>
      </c>
      <c r="B16" s="2">
        <v>46125.457638888889</v>
      </c>
      <c r="C16" t="s">
        <v>41</v>
      </c>
      <c r="D16" t="s">
        <v>32</v>
      </c>
      <c r="E16" t="s">
        <v>20</v>
      </c>
      <c r="F16" t="s">
        <v>21</v>
      </c>
      <c r="G16">
        <v>3</v>
      </c>
      <c r="H16">
        <v>55000</v>
      </c>
      <c r="I16">
        <v>0.15</v>
      </c>
      <c r="J16">
        <v>46750</v>
      </c>
      <c r="K16">
        <v>140250</v>
      </c>
      <c r="L16">
        <v>105801.31</v>
      </c>
      <c r="M16">
        <v>34448.69</v>
      </c>
      <c r="N16" t="s">
        <v>51</v>
      </c>
      <c r="O16" t="s">
        <v>23</v>
      </c>
      <c r="P16">
        <v>4</v>
      </c>
      <c r="Q16" s="1">
        <v>0.24562345811051695</v>
      </c>
    </row>
    <row r="17" spans="1:17" x14ac:dyDescent="0.3">
      <c r="A17" t="s">
        <v>63</v>
      </c>
      <c r="B17" s="2">
        <v>46127.681250000001</v>
      </c>
      <c r="C17" t="s">
        <v>64</v>
      </c>
      <c r="D17" t="s">
        <v>32</v>
      </c>
      <c r="E17" t="s">
        <v>20</v>
      </c>
      <c r="F17" t="s">
        <v>21</v>
      </c>
      <c r="G17">
        <v>1</v>
      </c>
      <c r="H17">
        <v>55000</v>
      </c>
      <c r="I17">
        <v>0</v>
      </c>
      <c r="J17">
        <v>55000</v>
      </c>
      <c r="K17">
        <v>55000</v>
      </c>
      <c r="L17">
        <v>40208.89</v>
      </c>
      <c r="M17">
        <v>14791.11</v>
      </c>
      <c r="N17" t="s">
        <v>39</v>
      </c>
      <c r="O17" t="s">
        <v>23</v>
      </c>
      <c r="P17">
        <v>4</v>
      </c>
      <c r="Q17" s="1">
        <v>0.26892927272727274</v>
      </c>
    </row>
    <row r="18" spans="1:17" x14ac:dyDescent="0.3">
      <c r="A18" t="s">
        <v>65</v>
      </c>
      <c r="B18" s="2">
        <v>46128.444444444445</v>
      </c>
      <c r="C18" t="s">
        <v>66</v>
      </c>
      <c r="D18" t="s">
        <v>19</v>
      </c>
      <c r="E18" t="s">
        <v>20</v>
      </c>
      <c r="F18" t="s">
        <v>21</v>
      </c>
      <c r="G18">
        <v>3</v>
      </c>
      <c r="H18">
        <v>15000</v>
      </c>
      <c r="I18">
        <v>0.05</v>
      </c>
      <c r="J18">
        <v>14250</v>
      </c>
      <c r="K18">
        <v>42750</v>
      </c>
      <c r="L18">
        <v>31465.81</v>
      </c>
      <c r="M18">
        <v>11284.19</v>
      </c>
      <c r="N18" t="s">
        <v>22</v>
      </c>
      <c r="O18" t="s">
        <v>23</v>
      </c>
      <c r="P18">
        <v>4</v>
      </c>
      <c r="Q18" s="1">
        <v>0.26395766081871347</v>
      </c>
    </row>
    <row r="19" spans="1:17" x14ac:dyDescent="0.3">
      <c r="A19" t="s">
        <v>67</v>
      </c>
      <c r="B19" s="2">
        <v>46129.772916666669</v>
      </c>
      <c r="C19" t="s">
        <v>57</v>
      </c>
      <c r="D19" t="s">
        <v>45</v>
      </c>
      <c r="E19" t="s">
        <v>27</v>
      </c>
      <c r="F19" t="s">
        <v>38</v>
      </c>
      <c r="G19">
        <v>1</v>
      </c>
      <c r="H19">
        <v>2200</v>
      </c>
      <c r="I19">
        <v>0</v>
      </c>
      <c r="J19">
        <v>2200</v>
      </c>
      <c r="K19">
        <v>2200</v>
      </c>
      <c r="L19">
        <v>1709.55</v>
      </c>
      <c r="M19">
        <v>490.45</v>
      </c>
      <c r="N19" t="s">
        <v>61</v>
      </c>
      <c r="O19" t="s">
        <v>23</v>
      </c>
      <c r="P19">
        <v>4</v>
      </c>
      <c r="Q19" s="1">
        <v>0.22293181818181818</v>
      </c>
    </row>
    <row r="20" spans="1:17" x14ac:dyDescent="0.3">
      <c r="A20" t="s">
        <v>68</v>
      </c>
      <c r="B20" s="2">
        <v>46130.675694444442</v>
      </c>
      <c r="C20" t="s">
        <v>69</v>
      </c>
      <c r="D20" t="s">
        <v>70</v>
      </c>
      <c r="E20" t="s">
        <v>20</v>
      </c>
      <c r="F20" t="s">
        <v>38</v>
      </c>
      <c r="G20">
        <v>3</v>
      </c>
      <c r="H20">
        <v>3500</v>
      </c>
      <c r="I20">
        <v>0.05</v>
      </c>
      <c r="J20">
        <v>3325</v>
      </c>
      <c r="K20">
        <v>9975</v>
      </c>
      <c r="L20">
        <v>7130.63</v>
      </c>
      <c r="M20">
        <v>2844.37</v>
      </c>
      <c r="N20" t="s">
        <v>22</v>
      </c>
      <c r="O20" t="s">
        <v>23</v>
      </c>
      <c r="P20">
        <v>4</v>
      </c>
      <c r="Q20" s="1">
        <v>0.28514987468671676</v>
      </c>
    </row>
    <row r="21" spans="1:17" x14ac:dyDescent="0.3">
      <c r="A21" t="s">
        <v>71</v>
      </c>
      <c r="B21" s="2">
        <v>46131.859722222223</v>
      </c>
      <c r="C21" t="s">
        <v>72</v>
      </c>
      <c r="D21" t="s">
        <v>32</v>
      </c>
      <c r="E21" t="s">
        <v>20</v>
      </c>
      <c r="F21" t="s">
        <v>21</v>
      </c>
      <c r="G21">
        <v>4</v>
      </c>
      <c r="H21">
        <v>55000</v>
      </c>
      <c r="I21">
        <v>0</v>
      </c>
      <c r="J21">
        <v>55000</v>
      </c>
      <c r="K21">
        <v>220000</v>
      </c>
      <c r="L21">
        <v>143484.09</v>
      </c>
      <c r="M21">
        <v>76515.91</v>
      </c>
      <c r="N21" t="s">
        <v>22</v>
      </c>
      <c r="O21" t="s">
        <v>23</v>
      </c>
      <c r="P21">
        <v>4</v>
      </c>
      <c r="Q21" s="1">
        <v>0.34779959090909091</v>
      </c>
    </row>
    <row r="22" spans="1:17" x14ac:dyDescent="0.3">
      <c r="A22" t="s">
        <v>73</v>
      </c>
      <c r="B22" s="2">
        <v>46132.769444444442</v>
      </c>
      <c r="C22" t="s">
        <v>74</v>
      </c>
      <c r="D22" t="s">
        <v>45</v>
      </c>
      <c r="E22" t="s">
        <v>27</v>
      </c>
      <c r="F22" t="s">
        <v>38</v>
      </c>
      <c r="G22">
        <v>4</v>
      </c>
      <c r="H22">
        <v>2200</v>
      </c>
      <c r="I22">
        <v>0.1</v>
      </c>
      <c r="J22">
        <v>1980</v>
      </c>
      <c r="K22">
        <v>7920</v>
      </c>
      <c r="L22">
        <v>5400.12</v>
      </c>
      <c r="M22">
        <v>2519.88</v>
      </c>
      <c r="N22" t="s">
        <v>61</v>
      </c>
      <c r="O22" t="s">
        <v>23</v>
      </c>
      <c r="P22">
        <v>4</v>
      </c>
      <c r="Q22" s="1">
        <v>0.31816666666666665</v>
      </c>
    </row>
    <row r="23" spans="1:17" x14ac:dyDescent="0.3">
      <c r="A23" t="s">
        <v>75</v>
      </c>
      <c r="B23" s="2">
        <v>46132.682638888888</v>
      </c>
      <c r="C23" t="s">
        <v>76</v>
      </c>
      <c r="D23" t="s">
        <v>19</v>
      </c>
      <c r="E23" t="s">
        <v>20</v>
      </c>
      <c r="F23" t="s">
        <v>33</v>
      </c>
      <c r="G23">
        <v>4</v>
      </c>
      <c r="H23">
        <v>15000</v>
      </c>
      <c r="I23">
        <v>0</v>
      </c>
      <c r="J23">
        <v>15000</v>
      </c>
      <c r="K23">
        <v>60000</v>
      </c>
      <c r="L23">
        <v>48896.85</v>
      </c>
      <c r="M23">
        <v>11103.15</v>
      </c>
      <c r="N23" t="s">
        <v>29</v>
      </c>
      <c r="O23" t="s">
        <v>23</v>
      </c>
      <c r="P23">
        <v>4</v>
      </c>
      <c r="Q23" s="1">
        <v>0.18505249999999998</v>
      </c>
    </row>
    <row r="24" spans="1:17" x14ac:dyDescent="0.3">
      <c r="A24" t="s">
        <v>77</v>
      </c>
      <c r="B24" s="2">
        <v>46133.737500000003</v>
      </c>
      <c r="C24" t="s">
        <v>78</v>
      </c>
      <c r="D24" t="s">
        <v>36</v>
      </c>
      <c r="E24" t="s">
        <v>37</v>
      </c>
      <c r="F24" t="s">
        <v>33</v>
      </c>
      <c r="G24">
        <v>2</v>
      </c>
      <c r="H24">
        <v>12000</v>
      </c>
      <c r="I24">
        <v>0</v>
      </c>
      <c r="J24">
        <v>12000</v>
      </c>
      <c r="K24">
        <v>24000</v>
      </c>
      <c r="L24">
        <v>16293.41</v>
      </c>
      <c r="M24">
        <v>7706.59</v>
      </c>
      <c r="N24" t="s">
        <v>22</v>
      </c>
      <c r="O24" t="s">
        <v>23</v>
      </c>
      <c r="P24">
        <v>4</v>
      </c>
      <c r="Q24" s="1">
        <v>0.32110791666666666</v>
      </c>
    </row>
    <row r="25" spans="1:17" x14ac:dyDescent="0.3">
      <c r="A25" t="s">
        <v>79</v>
      </c>
      <c r="B25" s="2">
        <v>46135.768055555556</v>
      </c>
      <c r="C25" t="s">
        <v>80</v>
      </c>
      <c r="D25" t="s">
        <v>70</v>
      </c>
      <c r="E25" t="s">
        <v>20</v>
      </c>
      <c r="F25" t="s">
        <v>33</v>
      </c>
      <c r="G25">
        <v>2</v>
      </c>
      <c r="H25">
        <v>3500</v>
      </c>
      <c r="I25">
        <v>0.15</v>
      </c>
      <c r="J25">
        <v>2975</v>
      </c>
      <c r="K25">
        <v>5950</v>
      </c>
      <c r="L25">
        <v>4014.16</v>
      </c>
      <c r="M25">
        <v>1935.84</v>
      </c>
      <c r="N25" t="s">
        <v>51</v>
      </c>
      <c r="O25" t="s">
        <v>23</v>
      </c>
      <c r="P25">
        <v>4</v>
      </c>
      <c r="Q25" s="1">
        <v>0.32535126050420166</v>
      </c>
    </row>
    <row r="26" spans="1:17" x14ac:dyDescent="0.3">
      <c r="A26" t="s">
        <v>81</v>
      </c>
      <c r="B26" s="2">
        <v>46136.396527777775</v>
      </c>
      <c r="C26" t="s">
        <v>82</v>
      </c>
      <c r="D26" t="s">
        <v>36</v>
      </c>
      <c r="E26" t="s">
        <v>37</v>
      </c>
      <c r="F26" t="s">
        <v>21</v>
      </c>
      <c r="G26">
        <v>2</v>
      </c>
      <c r="H26">
        <v>12000</v>
      </c>
      <c r="I26">
        <v>0.05</v>
      </c>
      <c r="J26">
        <v>11400</v>
      </c>
      <c r="K26">
        <v>22800</v>
      </c>
      <c r="L26">
        <v>14501.27</v>
      </c>
      <c r="M26">
        <v>8298.73</v>
      </c>
      <c r="N26" t="s">
        <v>61</v>
      </c>
      <c r="O26" t="s">
        <v>23</v>
      </c>
      <c r="P26">
        <v>4</v>
      </c>
      <c r="Q26" s="1">
        <v>0.36397938596491225</v>
      </c>
    </row>
    <row r="27" spans="1:17" x14ac:dyDescent="0.3">
      <c r="A27" t="s">
        <v>83</v>
      </c>
      <c r="B27" s="2">
        <v>46137.67083333333</v>
      </c>
      <c r="C27" t="s">
        <v>84</v>
      </c>
      <c r="D27" t="s">
        <v>42</v>
      </c>
      <c r="E27" t="s">
        <v>27</v>
      </c>
      <c r="F27" t="s">
        <v>33</v>
      </c>
      <c r="G27">
        <v>3</v>
      </c>
      <c r="H27">
        <v>1800</v>
      </c>
      <c r="I27">
        <v>0</v>
      </c>
      <c r="J27">
        <v>1800</v>
      </c>
      <c r="K27">
        <v>5400</v>
      </c>
      <c r="L27">
        <v>4279.4399999999996</v>
      </c>
      <c r="M27">
        <v>1120.56</v>
      </c>
      <c r="N27" t="s">
        <v>22</v>
      </c>
      <c r="O27" t="s">
        <v>23</v>
      </c>
      <c r="P27">
        <v>4</v>
      </c>
      <c r="Q27" s="1">
        <v>0.20751111111111109</v>
      </c>
    </row>
    <row r="28" spans="1:17" x14ac:dyDescent="0.3">
      <c r="A28" t="s">
        <v>85</v>
      </c>
      <c r="B28" s="2">
        <v>46137.402777777781</v>
      </c>
      <c r="C28" t="s">
        <v>86</v>
      </c>
      <c r="D28" t="s">
        <v>42</v>
      </c>
      <c r="E28" t="s">
        <v>27</v>
      </c>
      <c r="F28" t="s">
        <v>21</v>
      </c>
      <c r="G28">
        <v>3</v>
      </c>
      <c r="H28">
        <v>1800</v>
      </c>
      <c r="I28">
        <v>0.05</v>
      </c>
      <c r="J28">
        <v>1710</v>
      </c>
      <c r="K28">
        <v>5130</v>
      </c>
      <c r="L28">
        <v>3488.01</v>
      </c>
      <c r="M28">
        <v>1641.99</v>
      </c>
      <c r="N28" t="s">
        <v>39</v>
      </c>
      <c r="O28" t="s">
        <v>23</v>
      </c>
      <c r="P28">
        <v>4</v>
      </c>
      <c r="Q28" s="1">
        <v>0.32007602339181285</v>
      </c>
    </row>
    <row r="29" spans="1:17" x14ac:dyDescent="0.3">
      <c r="A29" t="s">
        <v>87</v>
      </c>
      <c r="B29" s="2">
        <v>46138.729166666664</v>
      </c>
      <c r="C29" t="s">
        <v>88</v>
      </c>
      <c r="D29" t="s">
        <v>50</v>
      </c>
      <c r="E29" t="s">
        <v>20</v>
      </c>
      <c r="F29" t="s">
        <v>33</v>
      </c>
      <c r="G29">
        <v>4</v>
      </c>
      <c r="H29">
        <v>11000</v>
      </c>
      <c r="I29">
        <v>0</v>
      </c>
      <c r="J29">
        <v>11000</v>
      </c>
      <c r="K29">
        <v>44000</v>
      </c>
      <c r="L29">
        <v>35856.11</v>
      </c>
      <c r="M29">
        <v>8143.89</v>
      </c>
      <c r="N29" t="s">
        <v>58</v>
      </c>
      <c r="O29" t="s">
        <v>23</v>
      </c>
      <c r="P29">
        <v>4</v>
      </c>
      <c r="Q29" s="1">
        <v>0.1850884090909091</v>
      </c>
    </row>
    <row r="30" spans="1:17" x14ac:dyDescent="0.3">
      <c r="A30" t="s">
        <v>89</v>
      </c>
      <c r="B30" s="2">
        <v>46138.511111111111</v>
      </c>
      <c r="C30" t="s">
        <v>55</v>
      </c>
      <c r="D30" t="s">
        <v>26</v>
      </c>
      <c r="E30" t="s">
        <v>27</v>
      </c>
      <c r="F30" t="s">
        <v>33</v>
      </c>
      <c r="G30">
        <v>1</v>
      </c>
      <c r="H30">
        <v>1200</v>
      </c>
      <c r="I30">
        <v>0.05</v>
      </c>
      <c r="J30">
        <v>1140</v>
      </c>
      <c r="K30">
        <v>1140</v>
      </c>
      <c r="L30">
        <v>862.11</v>
      </c>
      <c r="M30">
        <v>277.89</v>
      </c>
      <c r="N30" t="s">
        <v>29</v>
      </c>
      <c r="O30" t="s">
        <v>23</v>
      </c>
      <c r="P30">
        <v>4</v>
      </c>
      <c r="Q30" s="1">
        <v>0.24376315789473682</v>
      </c>
    </row>
    <row r="31" spans="1:17" x14ac:dyDescent="0.3">
      <c r="A31" t="s">
        <v>90</v>
      </c>
      <c r="B31" s="2">
        <v>46139.411111111112</v>
      </c>
      <c r="C31" t="s">
        <v>31</v>
      </c>
      <c r="D31" t="s">
        <v>36</v>
      </c>
      <c r="E31" t="s">
        <v>37</v>
      </c>
      <c r="F31" t="s">
        <v>21</v>
      </c>
      <c r="G31">
        <v>4</v>
      </c>
      <c r="H31">
        <v>12000</v>
      </c>
      <c r="I31">
        <v>0.05</v>
      </c>
      <c r="J31">
        <v>11400</v>
      </c>
      <c r="K31">
        <v>45600</v>
      </c>
      <c r="L31">
        <v>37200.699999999997</v>
      </c>
      <c r="M31">
        <v>8399.2999999999993</v>
      </c>
      <c r="N31" t="s">
        <v>39</v>
      </c>
      <c r="O31" t="s">
        <v>23</v>
      </c>
      <c r="P31">
        <v>4</v>
      </c>
      <c r="Q31" s="1">
        <v>0.18419517543859648</v>
      </c>
    </row>
    <row r="32" spans="1:17" x14ac:dyDescent="0.3">
      <c r="A32" t="s">
        <v>91</v>
      </c>
      <c r="B32" s="2">
        <v>46140.803472222222</v>
      </c>
      <c r="C32" t="s">
        <v>31</v>
      </c>
      <c r="D32" t="s">
        <v>92</v>
      </c>
      <c r="E32" t="s">
        <v>37</v>
      </c>
      <c r="F32" t="s">
        <v>38</v>
      </c>
      <c r="G32">
        <v>4</v>
      </c>
      <c r="H32">
        <v>8500</v>
      </c>
      <c r="I32">
        <v>0</v>
      </c>
      <c r="J32">
        <v>8500</v>
      </c>
      <c r="K32">
        <v>34000</v>
      </c>
      <c r="L32">
        <v>25010.01</v>
      </c>
      <c r="M32">
        <v>8989.99</v>
      </c>
      <c r="N32" t="s">
        <v>51</v>
      </c>
      <c r="O32" t="s">
        <v>23</v>
      </c>
      <c r="P32">
        <v>4</v>
      </c>
      <c r="Q32" s="1">
        <v>0.26441147058823528</v>
      </c>
    </row>
    <row r="33" spans="1:17" x14ac:dyDescent="0.3">
      <c r="A33" t="s">
        <v>93</v>
      </c>
      <c r="B33" s="2">
        <v>46141.436111111114</v>
      </c>
      <c r="C33" t="s">
        <v>18</v>
      </c>
      <c r="D33" t="s">
        <v>50</v>
      </c>
      <c r="E33" t="s">
        <v>20</v>
      </c>
      <c r="F33" t="s">
        <v>21</v>
      </c>
      <c r="G33">
        <v>3</v>
      </c>
      <c r="H33">
        <v>11000</v>
      </c>
      <c r="I33">
        <v>0.05</v>
      </c>
      <c r="J33">
        <v>10450</v>
      </c>
      <c r="K33">
        <v>31350</v>
      </c>
      <c r="L33">
        <v>25561.4</v>
      </c>
      <c r="M33">
        <v>5788.6</v>
      </c>
      <c r="N33" t="s">
        <v>39</v>
      </c>
      <c r="O33" t="s">
        <v>23</v>
      </c>
      <c r="P33">
        <v>4</v>
      </c>
      <c r="Q33" s="1">
        <v>0.18464433811802233</v>
      </c>
    </row>
    <row r="34" spans="1:17" x14ac:dyDescent="0.3">
      <c r="A34" t="s">
        <v>94</v>
      </c>
      <c r="B34" s="2">
        <v>46142.482638888891</v>
      </c>
      <c r="C34" t="s">
        <v>95</v>
      </c>
      <c r="D34" t="s">
        <v>26</v>
      </c>
      <c r="E34" t="s">
        <v>27</v>
      </c>
      <c r="F34" t="s">
        <v>33</v>
      </c>
      <c r="G34">
        <v>2</v>
      </c>
      <c r="H34">
        <v>1200</v>
      </c>
      <c r="I34">
        <v>0.05</v>
      </c>
      <c r="J34">
        <v>1140</v>
      </c>
      <c r="K34">
        <v>2280</v>
      </c>
      <c r="L34">
        <v>1673.07</v>
      </c>
      <c r="M34">
        <v>606.92999999999995</v>
      </c>
      <c r="N34" t="s">
        <v>58</v>
      </c>
      <c r="O34" t="s">
        <v>23</v>
      </c>
      <c r="P34">
        <v>4</v>
      </c>
      <c r="Q34" s="1">
        <v>0.26619736842105263</v>
      </c>
    </row>
    <row r="35" spans="1:17" x14ac:dyDescent="0.3">
      <c r="A35" t="s">
        <v>96</v>
      </c>
      <c r="B35" s="2">
        <v>46054.535416666666</v>
      </c>
      <c r="C35" t="s">
        <v>97</v>
      </c>
      <c r="D35" t="s">
        <v>32</v>
      </c>
      <c r="E35" t="s">
        <v>20</v>
      </c>
      <c r="F35" t="s">
        <v>21</v>
      </c>
      <c r="G35">
        <v>1</v>
      </c>
      <c r="H35">
        <v>55000</v>
      </c>
      <c r="I35">
        <v>0.05</v>
      </c>
      <c r="J35">
        <v>52250</v>
      </c>
      <c r="K35">
        <v>52250</v>
      </c>
      <c r="L35">
        <v>41425.11</v>
      </c>
      <c r="M35">
        <v>10824.89</v>
      </c>
      <c r="N35" t="s">
        <v>39</v>
      </c>
      <c r="O35" t="s">
        <v>98</v>
      </c>
      <c r="P35">
        <v>2</v>
      </c>
      <c r="Q35" s="1">
        <v>0.20717492822966507</v>
      </c>
    </row>
    <row r="36" spans="1:17" x14ac:dyDescent="0.3">
      <c r="A36" t="s">
        <v>99</v>
      </c>
      <c r="B36" s="2">
        <v>46055.402777777781</v>
      </c>
      <c r="C36" t="s">
        <v>100</v>
      </c>
      <c r="D36" t="s">
        <v>101</v>
      </c>
      <c r="E36" t="s">
        <v>20</v>
      </c>
      <c r="F36" t="s">
        <v>33</v>
      </c>
      <c r="G36">
        <v>2</v>
      </c>
      <c r="H36">
        <v>28000</v>
      </c>
      <c r="I36">
        <v>0.1</v>
      </c>
      <c r="J36">
        <v>25200</v>
      </c>
      <c r="K36">
        <v>50400</v>
      </c>
      <c r="L36">
        <v>32117.599999999999</v>
      </c>
      <c r="M36">
        <v>18282.400000000001</v>
      </c>
      <c r="N36" t="s">
        <v>58</v>
      </c>
      <c r="O36" t="s">
        <v>98</v>
      </c>
      <c r="P36">
        <v>2</v>
      </c>
      <c r="Q36" s="1">
        <v>0.36274603174603176</v>
      </c>
    </row>
    <row r="37" spans="1:17" x14ac:dyDescent="0.3">
      <c r="A37" t="s">
        <v>102</v>
      </c>
      <c r="B37" s="2">
        <v>46056.624305555553</v>
      </c>
      <c r="C37" t="s">
        <v>84</v>
      </c>
      <c r="D37" t="s">
        <v>45</v>
      </c>
      <c r="E37" t="s">
        <v>27</v>
      </c>
      <c r="F37" t="s">
        <v>38</v>
      </c>
      <c r="G37">
        <v>4</v>
      </c>
      <c r="H37">
        <v>2200</v>
      </c>
      <c r="I37">
        <v>0</v>
      </c>
      <c r="J37">
        <v>2200</v>
      </c>
      <c r="K37">
        <v>8800</v>
      </c>
      <c r="L37">
        <v>7086.04</v>
      </c>
      <c r="M37">
        <v>1713.96</v>
      </c>
      <c r="N37" t="s">
        <v>51</v>
      </c>
      <c r="O37" t="s">
        <v>98</v>
      </c>
      <c r="P37">
        <v>2</v>
      </c>
      <c r="Q37" s="1">
        <v>0.19476818181818181</v>
      </c>
    </row>
    <row r="38" spans="1:17" x14ac:dyDescent="0.3">
      <c r="A38" t="s">
        <v>103</v>
      </c>
      <c r="B38" s="2">
        <v>46057.622916666667</v>
      </c>
      <c r="C38" t="s">
        <v>41</v>
      </c>
      <c r="D38" t="s">
        <v>50</v>
      </c>
      <c r="E38" t="s">
        <v>20</v>
      </c>
      <c r="F38" t="s">
        <v>33</v>
      </c>
      <c r="G38">
        <v>3</v>
      </c>
      <c r="H38">
        <v>11000</v>
      </c>
      <c r="I38">
        <v>0.15</v>
      </c>
      <c r="J38">
        <v>9350</v>
      </c>
      <c r="K38">
        <v>28050</v>
      </c>
      <c r="L38">
        <v>18490.759999999998</v>
      </c>
      <c r="M38">
        <v>9559.24</v>
      </c>
      <c r="N38" t="s">
        <v>39</v>
      </c>
      <c r="O38" t="s">
        <v>98</v>
      </c>
      <c r="P38">
        <v>2</v>
      </c>
      <c r="Q38" s="1">
        <v>0.34079286987522278</v>
      </c>
    </row>
    <row r="39" spans="1:17" x14ac:dyDescent="0.3">
      <c r="A39" t="s">
        <v>104</v>
      </c>
      <c r="B39" s="2">
        <v>46059.798611111109</v>
      </c>
      <c r="C39" t="s">
        <v>105</v>
      </c>
      <c r="D39" t="s">
        <v>70</v>
      </c>
      <c r="E39" t="s">
        <v>20</v>
      </c>
      <c r="F39" t="s">
        <v>33</v>
      </c>
      <c r="G39">
        <v>1</v>
      </c>
      <c r="H39">
        <v>3500</v>
      </c>
      <c r="I39">
        <v>0.05</v>
      </c>
      <c r="J39">
        <v>3325</v>
      </c>
      <c r="K39">
        <v>3325</v>
      </c>
      <c r="L39">
        <v>2592.5700000000002</v>
      </c>
      <c r="M39">
        <v>732.43</v>
      </c>
      <c r="N39" t="s">
        <v>61</v>
      </c>
      <c r="O39" t="s">
        <v>98</v>
      </c>
      <c r="P39">
        <v>2</v>
      </c>
      <c r="Q39" s="1">
        <v>0.2202796992481203</v>
      </c>
    </row>
    <row r="40" spans="1:17" x14ac:dyDescent="0.3">
      <c r="A40" t="s">
        <v>106</v>
      </c>
      <c r="B40" s="2">
        <v>46061.415972222225</v>
      </c>
      <c r="C40" t="s">
        <v>107</v>
      </c>
      <c r="D40" t="s">
        <v>45</v>
      </c>
      <c r="E40" t="s">
        <v>27</v>
      </c>
      <c r="F40" t="s">
        <v>21</v>
      </c>
      <c r="G40">
        <v>5</v>
      </c>
      <c r="H40">
        <v>2200</v>
      </c>
      <c r="I40">
        <v>0</v>
      </c>
      <c r="J40">
        <v>2200</v>
      </c>
      <c r="K40">
        <v>11000</v>
      </c>
      <c r="L40">
        <v>8292.99</v>
      </c>
      <c r="M40">
        <v>2707.01</v>
      </c>
      <c r="N40" t="s">
        <v>22</v>
      </c>
      <c r="O40" t="s">
        <v>98</v>
      </c>
      <c r="P40">
        <v>2</v>
      </c>
      <c r="Q40" s="1">
        <v>0.24609181818181819</v>
      </c>
    </row>
    <row r="41" spans="1:17" x14ac:dyDescent="0.3">
      <c r="A41" t="s">
        <v>108</v>
      </c>
      <c r="B41" s="2">
        <v>46066.643750000003</v>
      </c>
      <c r="C41" t="s">
        <v>109</v>
      </c>
      <c r="D41" t="s">
        <v>92</v>
      </c>
      <c r="E41" t="s">
        <v>37</v>
      </c>
      <c r="F41" t="s">
        <v>38</v>
      </c>
      <c r="G41">
        <v>4</v>
      </c>
      <c r="H41">
        <v>8500</v>
      </c>
      <c r="I41">
        <v>0.05</v>
      </c>
      <c r="J41">
        <v>8075</v>
      </c>
      <c r="K41">
        <v>32300</v>
      </c>
      <c r="L41">
        <v>25307.78</v>
      </c>
      <c r="M41">
        <v>6992.22</v>
      </c>
      <c r="N41" t="s">
        <v>22</v>
      </c>
      <c r="O41" t="s">
        <v>98</v>
      </c>
      <c r="P41">
        <v>2</v>
      </c>
      <c r="Q41" s="1">
        <v>0.21647739938080496</v>
      </c>
    </row>
    <row r="42" spans="1:17" x14ac:dyDescent="0.3">
      <c r="A42" t="s">
        <v>110</v>
      </c>
      <c r="B42" s="2">
        <v>46068.577777777777</v>
      </c>
      <c r="C42" t="s">
        <v>18</v>
      </c>
      <c r="D42" t="s">
        <v>26</v>
      </c>
      <c r="E42" t="s">
        <v>27</v>
      </c>
      <c r="F42" t="s">
        <v>38</v>
      </c>
      <c r="G42">
        <v>3</v>
      </c>
      <c r="H42">
        <v>1200</v>
      </c>
      <c r="I42">
        <v>0.05</v>
      </c>
      <c r="J42">
        <v>1140</v>
      </c>
      <c r="K42">
        <v>3420</v>
      </c>
      <c r="L42">
        <v>2476.08</v>
      </c>
      <c r="M42">
        <v>943.92</v>
      </c>
      <c r="N42" t="s">
        <v>61</v>
      </c>
      <c r="O42" t="s">
        <v>98</v>
      </c>
      <c r="P42">
        <v>2</v>
      </c>
      <c r="Q42" s="1">
        <v>0.27599999999999997</v>
      </c>
    </row>
    <row r="43" spans="1:17" x14ac:dyDescent="0.3">
      <c r="A43" t="s">
        <v>111</v>
      </c>
      <c r="B43" s="2">
        <v>46069.43472222222</v>
      </c>
      <c r="C43" t="s">
        <v>57</v>
      </c>
      <c r="D43" t="s">
        <v>19</v>
      </c>
      <c r="E43" t="s">
        <v>20</v>
      </c>
      <c r="F43" t="s">
        <v>28</v>
      </c>
      <c r="G43">
        <v>4</v>
      </c>
      <c r="H43">
        <v>15000</v>
      </c>
      <c r="I43">
        <v>0.05</v>
      </c>
      <c r="J43">
        <v>14250</v>
      </c>
      <c r="K43">
        <v>57000</v>
      </c>
      <c r="L43">
        <v>43361.52</v>
      </c>
      <c r="M43">
        <v>13638.48</v>
      </c>
      <c r="N43" t="s">
        <v>29</v>
      </c>
      <c r="O43" t="s">
        <v>98</v>
      </c>
      <c r="P43">
        <v>2</v>
      </c>
      <c r="Q43" s="1">
        <v>0.23927157894736842</v>
      </c>
    </row>
    <row r="44" spans="1:17" x14ac:dyDescent="0.3">
      <c r="A44" t="s">
        <v>112</v>
      </c>
      <c r="B44" s="2">
        <v>46070.659722222219</v>
      </c>
      <c r="C44" t="s">
        <v>113</v>
      </c>
      <c r="D44" t="s">
        <v>50</v>
      </c>
      <c r="E44" t="s">
        <v>20</v>
      </c>
      <c r="F44" t="s">
        <v>38</v>
      </c>
      <c r="G44">
        <v>4</v>
      </c>
      <c r="H44">
        <v>11000</v>
      </c>
      <c r="I44">
        <v>0</v>
      </c>
      <c r="J44">
        <v>11000</v>
      </c>
      <c r="K44">
        <v>44000</v>
      </c>
      <c r="L44">
        <v>29555.62</v>
      </c>
      <c r="M44">
        <v>14444.38</v>
      </c>
      <c r="N44" t="s">
        <v>51</v>
      </c>
      <c r="O44" t="s">
        <v>98</v>
      </c>
      <c r="P44">
        <v>2</v>
      </c>
      <c r="Q44" s="1">
        <v>0.32828136363636362</v>
      </c>
    </row>
    <row r="45" spans="1:17" x14ac:dyDescent="0.3">
      <c r="A45" t="s">
        <v>114</v>
      </c>
      <c r="B45" s="2">
        <v>46072.477777777778</v>
      </c>
      <c r="C45" t="s">
        <v>115</v>
      </c>
      <c r="D45" t="s">
        <v>42</v>
      </c>
      <c r="E45" t="s">
        <v>27</v>
      </c>
      <c r="F45" t="s">
        <v>33</v>
      </c>
      <c r="G45">
        <v>5</v>
      </c>
      <c r="H45">
        <v>1800</v>
      </c>
      <c r="I45">
        <v>0.05</v>
      </c>
      <c r="J45">
        <v>1710</v>
      </c>
      <c r="K45">
        <v>8550</v>
      </c>
      <c r="L45">
        <v>6676.63</v>
      </c>
      <c r="M45">
        <v>1873.37</v>
      </c>
      <c r="N45" t="s">
        <v>51</v>
      </c>
      <c r="O45" t="s">
        <v>98</v>
      </c>
      <c r="P45">
        <v>2</v>
      </c>
      <c r="Q45" s="1">
        <v>0.21910760233918128</v>
      </c>
    </row>
    <row r="46" spans="1:17" x14ac:dyDescent="0.3">
      <c r="A46" t="s">
        <v>116</v>
      </c>
      <c r="B46" s="2">
        <v>46072.426388888889</v>
      </c>
      <c r="C46" t="s">
        <v>117</v>
      </c>
      <c r="D46" t="s">
        <v>50</v>
      </c>
      <c r="E46" t="s">
        <v>20</v>
      </c>
      <c r="F46" t="s">
        <v>38</v>
      </c>
      <c r="G46">
        <v>1</v>
      </c>
      <c r="H46">
        <v>11000</v>
      </c>
      <c r="I46">
        <v>0</v>
      </c>
      <c r="J46">
        <v>11000</v>
      </c>
      <c r="K46">
        <v>11000</v>
      </c>
      <c r="L46">
        <v>8454.11</v>
      </c>
      <c r="M46">
        <v>2545.89</v>
      </c>
      <c r="N46" t="s">
        <v>61</v>
      </c>
      <c r="O46" t="s">
        <v>98</v>
      </c>
      <c r="P46">
        <v>2</v>
      </c>
      <c r="Q46" s="1">
        <v>0.23144454545454543</v>
      </c>
    </row>
    <row r="47" spans="1:17" x14ac:dyDescent="0.3">
      <c r="A47" t="s">
        <v>118</v>
      </c>
      <c r="B47" s="2">
        <v>46072.774305555555</v>
      </c>
      <c r="C47" t="s">
        <v>74</v>
      </c>
      <c r="D47" t="s">
        <v>101</v>
      </c>
      <c r="E47" t="s">
        <v>20</v>
      </c>
      <c r="F47" t="s">
        <v>21</v>
      </c>
      <c r="G47">
        <v>2</v>
      </c>
      <c r="H47">
        <v>28000</v>
      </c>
      <c r="I47">
        <v>0.05</v>
      </c>
      <c r="J47">
        <v>26600</v>
      </c>
      <c r="K47">
        <v>53200</v>
      </c>
      <c r="L47">
        <v>36485.56</v>
      </c>
      <c r="M47">
        <v>16714.439999999999</v>
      </c>
      <c r="N47" t="s">
        <v>61</v>
      </c>
      <c r="O47" t="s">
        <v>98</v>
      </c>
      <c r="P47">
        <v>2</v>
      </c>
      <c r="Q47" s="1">
        <v>0.31418120300751878</v>
      </c>
    </row>
    <row r="48" spans="1:17" x14ac:dyDescent="0.3">
      <c r="A48" t="s">
        <v>119</v>
      </c>
      <c r="B48" s="2">
        <v>46074.76458333333</v>
      </c>
      <c r="C48" t="s">
        <v>72</v>
      </c>
      <c r="D48" t="s">
        <v>92</v>
      </c>
      <c r="E48" t="s">
        <v>37</v>
      </c>
      <c r="F48" t="s">
        <v>33</v>
      </c>
      <c r="G48">
        <v>5</v>
      </c>
      <c r="H48">
        <v>8500</v>
      </c>
      <c r="I48">
        <v>0</v>
      </c>
      <c r="J48">
        <v>8500</v>
      </c>
      <c r="K48">
        <v>42500</v>
      </c>
      <c r="L48">
        <v>31517.73</v>
      </c>
      <c r="M48">
        <v>10982.27</v>
      </c>
      <c r="N48" t="s">
        <v>58</v>
      </c>
      <c r="O48" t="s">
        <v>98</v>
      </c>
      <c r="P48">
        <v>2</v>
      </c>
      <c r="Q48" s="1">
        <v>0.25840635294117648</v>
      </c>
    </row>
    <row r="49" spans="1:17" x14ac:dyDescent="0.3">
      <c r="A49" t="s">
        <v>120</v>
      </c>
      <c r="B49" s="2">
        <v>46076.739583333336</v>
      </c>
      <c r="C49" t="s">
        <v>82</v>
      </c>
      <c r="D49" t="s">
        <v>70</v>
      </c>
      <c r="E49" t="s">
        <v>20</v>
      </c>
      <c r="F49" t="s">
        <v>21</v>
      </c>
      <c r="G49">
        <v>1</v>
      </c>
      <c r="H49">
        <v>3500</v>
      </c>
      <c r="I49">
        <v>0</v>
      </c>
      <c r="J49">
        <v>3500</v>
      </c>
      <c r="K49">
        <v>3500</v>
      </c>
      <c r="L49">
        <v>2840.92</v>
      </c>
      <c r="M49">
        <v>659.08</v>
      </c>
      <c r="N49" t="s">
        <v>22</v>
      </c>
      <c r="O49" t="s">
        <v>98</v>
      </c>
      <c r="P49">
        <v>2</v>
      </c>
      <c r="Q49" s="1">
        <v>0.18830857142857144</v>
      </c>
    </row>
    <row r="50" spans="1:17" x14ac:dyDescent="0.3">
      <c r="A50" t="s">
        <v>121</v>
      </c>
      <c r="B50" s="2">
        <v>46076.809027777781</v>
      </c>
      <c r="C50" t="s">
        <v>69</v>
      </c>
      <c r="D50" t="s">
        <v>42</v>
      </c>
      <c r="E50" t="s">
        <v>27</v>
      </c>
      <c r="F50" t="s">
        <v>38</v>
      </c>
      <c r="G50">
        <v>4</v>
      </c>
      <c r="H50">
        <v>1800</v>
      </c>
      <c r="I50">
        <v>0</v>
      </c>
      <c r="J50">
        <v>1800</v>
      </c>
      <c r="K50">
        <v>7200</v>
      </c>
      <c r="L50">
        <v>5737.83</v>
      </c>
      <c r="M50">
        <v>1462.17</v>
      </c>
      <c r="N50" t="s">
        <v>39</v>
      </c>
      <c r="O50" t="s">
        <v>98</v>
      </c>
      <c r="P50">
        <v>2</v>
      </c>
      <c r="Q50" s="1">
        <v>0.20307916666666667</v>
      </c>
    </row>
    <row r="51" spans="1:17" x14ac:dyDescent="0.3">
      <c r="A51" t="s">
        <v>122</v>
      </c>
      <c r="B51" s="2">
        <v>46077.620833333334</v>
      </c>
      <c r="C51" t="s">
        <v>123</v>
      </c>
      <c r="D51" t="s">
        <v>45</v>
      </c>
      <c r="E51" t="s">
        <v>27</v>
      </c>
      <c r="F51" t="s">
        <v>28</v>
      </c>
      <c r="G51">
        <v>2</v>
      </c>
      <c r="H51">
        <v>2200</v>
      </c>
      <c r="I51">
        <v>0.1</v>
      </c>
      <c r="J51">
        <v>1980</v>
      </c>
      <c r="K51">
        <v>3960</v>
      </c>
      <c r="L51">
        <v>3093.52</v>
      </c>
      <c r="M51">
        <v>866.48</v>
      </c>
      <c r="N51" t="s">
        <v>39</v>
      </c>
      <c r="O51" t="s">
        <v>98</v>
      </c>
      <c r="P51">
        <v>2</v>
      </c>
      <c r="Q51" s="1">
        <v>0.21880808080808081</v>
      </c>
    </row>
    <row r="52" spans="1:17" x14ac:dyDescent="0.3">
      <c r="A52" t="s">
        <v>124</v>
      </c>
      <c r="B52" s="2">
        <v>46077.855555555558</v>
      </c>
      <c r="C52" t="s">
        <v>117</v>
      </c>
      <c r="D52" t="s">
        <v>101</v>
      </c>
      <c r="E52" t="s">
        <v>20</v>
      </c>
      <c r="F52" t="s">
        <v>21</v>
      </c>
      <c r="G52">
        <v>3</v>
      </c>
      <c r="H52">
        <v>28000</v>
      </c>
      <c r="I52">
        <v>0.1</v>
      </c>
      <c r="J52">
        <v>25200</v>
      </c>
      <c r="K52">
        <v>75600</v>
      </c>
      <c r="L52">
        <v>53280.15</v>
      </c>
      <c r="M52">
        <v>22319.85</v>
      </c>
      <c r="N52" t="s">
        <v>39</v>
      </c>
      <c r="O52" t="s">
        <v>98</v>
      </c>
      <c r="P52">
        <v>2</v>
      </c>
      <c r="Q52" s="1">
        <v>0.29523611111111109</v>
      </c>
    </row>
    <row r="53" spans="1:17" x14ac:dyDescent="0.3">
      <c r="A53" t="s">
        <v>125</v>
      </c>
      <c r="B53" s="2">
        <v>46077.8</v>
      </c>
      <c r="C53" t="s">
        <v>126</v>
      </c>
      <c r="D53" t="s">
        <v>36</v>
      </c>
      <c r="E53" t="s">
        <v>37</v>
      </c>
      <c r="F53" t="s">
        <v>38</v>
      </c>
      <c r="G53">
        <v>4</v>
      </c>
      <c r="H53">
        <v>12000</v>
      </c>
      <c r="I53">
        <v>0</v>
      </c>
      <c r="J53">
        <v>12000</v>
      </c>
      <c r="K53">
        <v>48000</v>
      </c>
      <c r="L53">
        <v>31747.89</v>
      </c>
      <c r="M53">
        <v>16252.11</v>
      </c>
      <c r="N53" t="s">
        <v>58</v>
      </c>
      <c r="O53" t="s">
        <v>98</v>
      </c>
      <c r="P53">
        <v>2</v>
      </c>
      <c r="Q53" s="1">
        <v>0.338585625</v>
      </c>
    </row>
    <row r="54" spans="1:17" x14ac:dyDescent="0.3">
      <c r="A54" t="s">
        <v>127</v>
      </c>
      <c r="B54" s="2">
        <v>46078.409722222219</v>
      </c>
      <c r="C54" t="s">
        <v>107</v>
      </c>
      <c r="D54" t="s">
        <v>26</v>
      </c>
      <c r="E54" t="s">
        <v>27</v>
      </c>
      <c r="F54" t="s">
        <v>28</v>
      </c>
      <c r="G54">
        <v>2</v>
      </c>
      <c r="H54">
        <v>1200</v>
      </c>
      <c r="I54">
        <v>0</v>
      </c>
      <c r="J54">
        <v>1200</v>
      </c>
      <c r="K54">
        <v>2400</v>
      </c>
      <c r="L54">
        <v>1583.04</v>
      </c>
      <c r="M54">
        <v>816.96</v>
      </c>
      <c r="N54" t="s">
        <v>58</v>
      </c>
      <c r="O54" t="s">
        <v>98</v>
      </c>
      <c r="P54">
        <v>2</v>
      </c>
      <c r="Q54" s="1">
        <v>0.34040000000000004</v>
      </c>
    </row>
    <row r="55" spans="1:17" x14ac:dyDescent="0.3">
      <c r="A55" t="s">
        <v>128</v>
      </c>
      <c r="B55" s="2">
        <v>46078.707638888889</v>
      </c>
      <c r="C55" t="s">
        <v>129</v>
      </c>
      <c r="D55" t="s">
        <v>70</v>
      </c>
      <c r="E55" t="s">
        <v>20</v>
      </c>
      <c r="F55" t="s">
        <v>33</v>
      </c>
      <c r="G55">
        <v>3</v>
      </c>
      <c r="H55">
        <v>3500</v>
      </c>
      <c r="I55">
        <v>0.1</v>
      </c>
      <c r="J55">
        <v>3150</v>
      </c>
      <c r="K55">
        <v>9450</v>
      </c>
      <c r="L55">
        <v>7362.48</v>
      </c>
      <c r="M55">
        <v>2087.52</v>
      </c>
      <c r="N55" t="s">
        <v>58</v>
      </c>
      <c r="O55" t="s">
        <v>98</v>
      </c>
      <c r="P55">
        <v>2</v>
      </c>
      <c r="Q55" s="1">
        <v>0.22090158730158729</v>
      </c>
    </row>
    <row r="56" spans="1:17" x14ac:dyDescent="0.3">
      <c r="A56" t="s">
        <v>130</v>
      </c>
      <c r="B56" s="2">
        <v>46078.818749999999</v>
      </c>
      <c r="C56" t="s">
        <v>131</v>
      </c>
      <c r="D56" t="s">
        <v>19</v>
      </c>
      <c r="E56" t="s">
        <v>20</v>
      </c>
      <c r="F56" t="s">
        <v>28</v>
      </c>
      <c r="G56">
        <v>1</v>
      </c>
      <c r="H56">
        <v>15000</v>
      </c>
      <c r="I56">
        <v>0</v>
      </c>
      <c r="J56">
        <v>15000</v>
      </c>
      <c r="K56">
        <v>15000</v>
      </c>
      <c r="L56">
        <v>10463.299999999999</v>
      </c>
      <c r="M56">
        <v>4536.7</v>
      </c>
      <c r="N56" t="s">
        <v>39</v>
      </c>
      <c r="O56" t="s">
        <v>98</v>
      </c>
      <c r="P56">
        <v>2</v>
      </c>
      <c r="Q56" s="1">
        <v>0.30244666666666664</v>
      </c>
    </row>
    <row r="57" spans="1:17" x14ac:dyDescent="0.3">
      <c r="A57" t="s">
        <v>132</v>
      </c>
      <c r="B57" s="2">
        <v>46080.818749999999</v>
      </c>
      <c r="C57" t="s">
        <v>41</v>
      </c>
      <c r="D57" t="s">
        <v>101</v>
      </c>
      <c r="E57" t="s">
        <v>20</v>
      </c>
      <c r="F57" t="s">
        <v>21</v>
      </c>
      <c r="G57">
        <v>1</v>
      </c>
      <c r="H57">
        <v>28000</v>
      </c>
      <c r="I57">
        <v>0.15</v>
      </c>
      <c r="J57">
        <v>23800</v>
      </c>
      <c r="K57">
        <v>23800</v>
      </c>
      <c r="L57">
        <v>16637.82</v>
      </c>
      <c r="M57">
        <v>7162.18</v>
      </c>
      <c r="N57" t="s">
        <v>58</v>
      </c>
      <c r="O57" t="s">
        <v>98</v>
      </c>
      <c r="P57">
        <v>2</v>
      </c>
      <c r="Q57" s="1">
        <v>0.30093193277310926</v>
      </c>
    </row>
    <row r="58" spans="1:17" x14ac:dyDescent="0.3">
      <c r="A58" t="s">
        <v>133</v>
      </c>
      <c r="B58" s="2">
        <v>46081.565972222219</v>
      </c>
      <c r="C58" t="s">
        <v>134</v>
      </c>
      <c r="D58" t="s">
        <v>36</v>
      </c>
      <c r="E58" t="s">
        <v>37</v>
      </c>
      <c r="F58" t="s">
        <v>28</v>
      </c>
      <c r="G58">
        <v>5</v>
      </c>
      <c r="H58">
        <v>12000</v>
      </c>
      <c r="I58">
        <v>0.1</v>
      </c>
      <c r="J58">
        <v>10800</v>
      </c>
      <c r="K58">
        <v>54000</v>
      </c>
      <c r="L58">
        <v>37799.58</v>
      </c>
      <c r="M58">
        <v>16200.42</v>
      </c>
      <c r="N58" t="s">
        <v>51</v>
      </c>
      <c r="O58" t="s">
        <v>98</v>
      </c>
      <c r="P58">
        <v>2</v>
      </c>
      <c r="Q58" s="1">
        <v>0.30000777777777776</v>
      </c>
    </row>
    <row r="59" spans="1:17" x14ac:dyDescent="0.3">
      <c r="A59" t="s">
        <v>135</v>
      </c>
      <c r="B59" s="2">
        <v>46081.350694444445</v>
      </c>
      <c r="C59" t="s">
        <v>136</v>
      </c>
      <c r="D59" t="s">
        <v>70</v>
      </c>
      <c r="E59" t="s">
        <v>20</v>
      </c>
      <c r="F59" t="s">
        <v>28</v>
      </c>
      <c r="G59">
        <v>5</v>
      </c>
      <c r="H59">
        <v>3500</v>
      </c>
      <c r="I59">
        <v>0.15</v>
      </c>
      <c r="J59">
        <v>2975</v>
      </c>
      <c r="K59">
        <v>14875</v>
      </c>
      <c r="L59">
        <v>12055.71</v>
      </c>
      <c r="M59">
        <v>2819.29</v>
      </c>
      <c r="N59" t="s">
        <v>29</v>
      </c>
      <c r="O59" t="s">
        <v>98</v>
      </c>
      <c r="P59">
        <v>2</v>
      </c>
      <c r="Q59" s="1">
        <v>0.18953210084033614</v>
      </c>
    </row>
    <row r="60" spans="1:17" x14ac:dyDescent="0.3">
      <c r="A60" t="s">
        <v>137</v>
      </c>
      <c r="B60" s="2">
        <v>46025.796527777777</v>
      </c>
      <c r="C60" t="s">
        <v>138</v>
      </c>
      <c r="D60" t="s">
        <v>70</v>
      </c>
      <c r="E60" t="s">
        <v>20</v>
      </c>
      <c r="F60" t="s">
        <v>21</v>
      </c>
      <c r="G60">
        <v>5</v>
      </c>
      <c r="H60">
        <v>3500</v>
      </c>
      <c r="I60">
        <v>0.05</v>
      </c>
      <c r="J60">
        <v>3325</v>
      </c>
      <c r="K60">
        <v>16625</v>
      </c>
      <c r="L60">
        <v>13379.28</v>
      </c>
      <c r="M60">
        <v>3245.72</v>
      </c>
      <c r="N60" t="s">
        <v>51</v>
      </c>
      <c r="O60" t="s">
        <v>139</v>
      </c>
      <c r="P60">
        <v>1</v>
      </c>
      <c r="Q60" s="1">
        <v>0.19523127819548872</v>
      </c>
    </row>
    <row r="61" spans="1:17" x14ac:dyDescent="0.3">
      <c r="A61" t="s">
        <v>140</v>
      </c>
      <c r="B61" s="2">
        <v>46025.604166666664</v>
      </c>
      <c r="C61" t="s">
        <v>141</v>
      </c>
      <c r="D61" t="s">
        <v>19</v>
      </c>
      <c r="E61" t="s">
        <v>20</v>
      </c>
      <c r="F61" t="s">
        <v>21</v>
      </c>
      <c r="G61">
        <v>2</v>
      </c>
      <c r="H61">
        <v>15000</v>
      </c>
      <c r="I61">
        <v>0.1</v>
      </c>
      <c r="J61">
        <v>13500</v>
      </c>
      <c r="K61">
        <v>27000</v>
      </c>
      <c r="L61">
        <v>20203.96</v>
      </c>
      <c r="M61">
        <v>6796.04</v>
      </c>
      <c r="N61" t="s">
        <v>61</v>
      </c>
      <c r="O61" t="s">
        <v>139</v>
      </c>
      <c r="P61">
        <v>1</v>
      </c>
      <c r="Q61" s="1">
        <v>0.2517051851851852</v>
      </c>
    </row>
    <row r="62" spans="1:17" x14ac:dyDescent="0.3">
      <c r="A62" t="s">
        <v>142</v>
      </c>
      <c r="B62" s="2">
        <v>46027.509027777778</v>
      </c>
      <c r="C62" t="s">
        <v>49</v>
      </c>
      <c r="D62" t="s">
        <v>92</v>
      </c>
      <c r="E62" t="s">
        <v>37</v>
      </c>
      <c r="F62" t="s">
        <v>28</v>
      </c>
      <c r="G62">
        <v>2</v>
      </c>
      <c r="H62">
        <v>8500</v>
      </c>
      <c r="I62">
        <v>0.1</v>
      </c>
      <c r="J62">
        <v>7650</v>
      </c>
      <c r="K62">
        <v>15300</v>
      </c>
      <c r="L62">
        <v>10919.3</v>
      </c>
      <c r="M62">
        <v>4380.7</v>
      </c>
      <c r="N62" t="s">
        <v>39</v>
      </c>
      <c r="O62" t="s">
        <v>139</v>
      </c>
      <c r="P62">
        <v>1</v>
      </c>
      <c r="Q62" s="1">
        <v>0.28632026143790851</v>
      </c>
    </row>
    <row r="63" spans="1:17" x14ac:dyDescent="0.3">
      <c r="A63" t="s">
        <v>143</v>
      </c>
      <c r="B63" s="2">
        <v>46031.500694444447</v>
      </c>
      <c r="C63" t="s">
        <v>134</v>
      </c>
      <c r="D63" t="s">
        <v>70</v>
      </c>
      <c r="E63" t="s">
        <v>20</v>
      </c>
      <c r="F63" t="s">
        <v>28</v>
      </c>
      <c r="G63">
        <v>3</v>
      </c>
      <c r="H63">
        <v>3500</v>
      </c>
      <c r="I63">
        <v>0.05</v>
      </c>
      <c r="J63">
        <v>3325</v>
      </c>
      <c r="K63">
        <v>9975</v>
      </c>
      <c r="L63">
        <v>6668.05</v>
      </c>
      <c r="M63">
        <v>3306.95</v>
      </c>
      <c r="N63" t="s">
        <v>22</v>
      </c>
      <c r="O63" t="s">
        <v>139</v>
      </c>
      <c r="P63">
        <v>1</v>
      </c>
      <c r="Q63" s="1">
        <v>0.3315238095238095</v>
      </c>
    </row>
    <row r="64" spans="1:17" x14ac:dyDescent="0.3">
      <c r="A64" t="s">
        <v>144</v>
      </c>
      <c r="B64" s="2">
        <v>46032.779166666667</v>
      </c>
      <c r="C64" t="s">
        <v>117</v>
      </c>
      <c r="D64" t="s">
        <v>19</v>
      </c>
      <c r="E64" t="s">
        <v>20</v>
      </c>
      <c r="F64" t="s">
        <v>21</v>
      </c>
      <c r="G64">
        <v>5</v>
      </c>
      <c r="H64">
        <v>15000</v>
      </c>
      <c r="I64">
        <v>0.1</v>
      </c>
      <c r="J64">
        <v>13500</v>
      </c>
      <c r="K64">
        <v>67500</v>
      </c>
      <c r="L64">
        <v>53215.05</v>
      </c>
      <c r="M64">
        <v>14284.95</v>
      </c>
      <c r="N64" t="s">
        <v>51</v>
      </c>
      <c r="O64" t="s">
        <v>139</v>
      </c>
      <c r="P64">
        <v>1</v>
      </c>
      <c r="Q64" s="1">
        <v>0.21162888888888889</v>
      </c>
    </row>
    <row r="65" spans="1:17" x14ac:dyDescent="0.3">
      <c r="A65" t="s">
        <v>145</v>
      </c>
      <c r="B65" s="2">
        <v>46033.513194444444</v>
      </c>
      <c r="C65" t="s">
        <v>35</v>
      </c>
      <c r="D65" t="s">
        <v>32</v>
      </c>
      <c r="E65" t="s">
        <v>20</v>
      </c>
      <c r="F65" t="s">
        <v>38</v>
      </c>
      <c r="G65">
        <v>4</v>
      </c>
      <c r="H65">
        <v>55000</v>
      </c>
      <c r="I65">
        <v>0.1</v>
      </c>
      <c r="J65">
        <v>49500</v>
      </c>
      <c r="K65">
        <v>198000</v>
      </c>
      <c r="L65">
        <v>125651.85</v>
      </c>
      <c r="M65">
        <v>72348.149999999994</v>
      </c>
      <c r="N65" t="s">
        <v>51</v>
      </c>
      <c r="O65" t="s">
        <v>139</v>
      </c>
      <c r="P65">
        <v>1</v>
      </c>
      <c r="Q65" s="1">
        <v>0.36539469696969695</v>
      </c>
    </row>
    <row r="66" spans="1:17" x14ac:dyDescent="0.3">
      <c r="A66" t="s">
        <v>146</v>
      </c>
      <c r="B66" s="2">
        <v>46036.633333333331</v>
      </c>
      <c r="C66" t="s">
        <v>147</v>
      </c>
      <c r="D66" t="s">
        <v>45</v>
      </c>
      <c r="E66" t="s">
        <v>27</v>
      </c>
      <c r="F66" t="s">
        <v>21</v>
      </c>
      <c r="G66">
        <v>4</v>
      </c>
      <c r="H66">
        <v>2200</v>
      </c>
      <c r="I66">
        <v>0</v>
      </c>
      <c r="J66">
        <v>2200</v>
      </c>
      <c r="K66">
        <v>8800</v>
      </c>
      <c r="L66">
        <v>6999.67</v>
      </c>
      <c r="M66">
        <v>1800.33</v>
      </c>
      <c r="N66" t="s">
        <v>51</v>
      </c>
      <c r="O66" t="s">
        <v>139</v>
      </c>
      <c r="P66">
        <v>1</v>
      </c>
      <c r="Q66" s="1">
        <v>0.20458295454545453</v>
      </c>
    </row>
    <row r="67" spans="1:17" x14ac:dyDescent="0.3">
      <c r="A67" t="s">
        <v>148</v>
      </c>
      <c r="B67" s="2">
        <v>46038.526388888888</v>
      </c>
      <c r="C67" t="s">
        <v>149</v>
      </c>
      <c r="D67" t="s">
        <v>50</v>
      </c>
      <c r="E67" t="s">
        <v>20</v>
      </c>
      <c r="F67" t="s">
        <v>28</v>
      </c>
      <c r="G67">
        <v>4</v>
      </c>
      <c r="H67">
        <v>11000</v>
      </c>
      <c r="I67">
        <v>0</v>
      </c>
      <c r="J67">
        <v>11000</v>
      </c>
      <c r="K67">
        <v>44000</v>
      </c>
      <c r="L67">
        <v>28778.61</v>
      </c>
      <c r="M67">
        <v>15221.39</v>
      </c>
      <c r="N67" t="s">
        <v>29</v>
      </c>
      <c r="O67" t="s">
        <v>139</v>
      </c>
      <c r="P67">
        <v>1</v>
      </c>
      <c r="Q67" s="1">
        <v>0.34594068181818183</v>
      </c>
    </row>
    <row r="68" spans="1:17" x14ac:dyDescent="0.3">
      <c r="A68" t="s">
        <v>150</v>
      </c>
      <c r="B68" s="2">
        <v>46038.367361111108</v>
      </c>
      <c r="C68" t="s">
        <v>123</v>
      </c>
      <c r="D68" t="s">
        <v>70</v>
      </c>
      <c r="E68" t="s">
        <v>20</v>
      </c>
      <c r="F68" t="s">
        <v>38</v>
      </c>
      <c r="G68">
        <v>5</v>
      </c>
      <c r="H68">
        <v>3500</v>
      </c>
      <c r="I68">
        <v>0.1</v>
      </c>
      <c r="J68">
        <v>3150</v>
      </c>
      <c r="K68">
        <v>15750</v>
      </c>
      <c r="L68">
        <v>11803.37</v>
      </c>
      <c r="M68">
        <v>3946.63</v>
      </c>
      <c r="N68" t="s">
        <v>39</v>
      </c>
      <c r="O68" t="s">
        <v>139</v>
      </c>
      <c r="P68">
        <v>1</v>
      </c>
      <c r="Q68" s="1">
        <v>0.25057968253968255</v>
      </c>
    </row>
    <row r="69" spans="1:17" x14ac:dyDescent="0.3">
      <c r="A69" t="s">
        <v>151</v>
      </c>
      <c r="B69" s="2">
        <v>46040.786805555559</v>
      </c>
      <c r="C69" t="s">
        <v>134</v>
      </c>
      <c r="D69" t="s">
        <v>45</v>
      </c>
      <c r="E69" t="s">
        <v>27</v>
      </c>
      <c r="F69" t="s">
        <v>38</v>
      </c>
      <c r="G69">
        <v>1</v>
      </c>
      <c r="H69">
        <v>2200</v>
      </c>
      <c r="I69">
        <v>0</v>
      </c>
      <c r="J69">
        <v>2200</v>
      </c>
      <c r="K69">
        <v>2200</v>
      </c>
      <c r="L69">
        <v>1743.54</v>
      </c>
      <c r="M69">
        <v>456.46</v>
      </c>
      <c r="N69" t="s">
        <v>29</v>
      </c>
      <c r="O69" t="s">
        <v>139</v>
      </c>
      <c r="P69">
        <v>1</v>
      </c>
      <c r="Q69" s="1">
        <v>0.20748181818181818</v>
      </c>
    </row>
    <row r="70" spans="1:17" x14ac:dyDescent="0.3">
      <c r="A70" t="s">
        <v>152</v>
      </c>
      <c r="B70" s="2">
        <v>46040.661805555559</v>
      </c>
      <c r="C70" t="s">
        <v>153</v>
      </c>
      <c r="D70" t="s">
        <v>45</v>
      </c>
      <c r="E70" t="s">
        <v>27</v>
      </c>
      <c r="F70" t="s">
        <v>38</v>
      </c>
      <c r="G70">
        <v>2</v>
      </c>
      <c r="H70">
        <v>2200</v>
      </c>
      <c r="I70">
        <v>0</v>
      </c>
      <c r="J70">
        <v>2200</v>
      </c>
      <c r="K70">
        <v>4400</v>
      </c>
      <c r="L70">
        <v>2867.57</v>
      </c>
      <c r="M70">
        <v>1532.43</v>
      </c>
      <c r="N70" t="s">
        <v>58</v>
      </c>
      <c r="O70" t="s">
        <v>139</v>
      </c>
      <c r="P70">
        <v>1</v>
      </c>
      <c r="Q70" s="1">
        <v>0.34827954545454548</v>
      </c>
    </row>
    <row r="71" spans="1:17" x14ac:dyDescent="0.3">
      <c r="A71" t="s">
        <v>154</v>
      </c>
      <c r="B71" s="2">
        <v>46041.623611111114</v>
      </c>
      <c r="C71" t="s">
        <v>155</v>
      </c>
      <c r="D71" t="s">
        <v>19</v>
      </c>
      <c r="E71" t="s">
        <v>20</v>
      </c>
      <c r="F71" t="s">
        <v>28</v>
      </c>
      <c r="G71">
        <v>5</v>
      </c>
      <c r="H71">
        <v>15000</v>
      </c>
      <c r="I71">
        <v>0</v>
      </c>
      <c r="J71">
        <v>15000</v>
      </c>
      <c r="K71">
        <v>75000</v>
      </c>
      <c r="L71">
        <v>50125.1</v>
      </c>
      <c r="M71">
        <v>24874.9</v>
      </c>
      <c r="N71" t="s">
        <v>39</v>
      </c>
      <c r="O71" t="s">
        <v>139</v>
      </c>
      <c r="P71">
        <v>1</v>
      </c>
      <c r="Q71" s="1">
        <v>0.33166533333333337</v>
      </c>
    </row>
    <row r="72" spans="1:17" x14ac:dyDescent="0.3">
      <c r="A72" t="s">
        <v>156</v>
      </c>
      <c r="B72" s="2">
        <v>46042.652083333334</v>
      </c>
      <c r="C72" t="s">
        <v>31</v>
      </c>
      <c r="D72" t="s">
        <v>19</v>
      </c>
      <c r="E72" t="s">
        <v>20</v>
      </c>
      <c r="F72" t="s">
        <v>33</v>
      </c>
      <c r="G72">
        <v>4</v>
      </c>
      <c r="H72">
        <v>15000</v>
      </c>
      <c r="I72">
        <v>0.05</v>
      </c>
      <c r="J72">
        <v>14250</v>
      </c>
      <c r="K72">
        <v>57000</v>
      </c>
      <c r="L72">
        <v>41486.82</v>
      </c>
      <c r="M72">
        <v>15513.18</v>
      </c>
      <c r="N72" t="s">
        <v>22</v>
      </c>
      <c r="O72" t="s">
        <v>139</v>
      </c>
      <c r="P72">
        <v>1</v>
      </c>
      <c r="Q72" s="1">
        <v>0.27216105263157897</v>
      </c>
    </row>
    <row r="73" spans="1:17" x14ac:dyDescent="0.3">
      <c r="A73" t="s">
        <v>157</v>
      </c>
      <c r="B73" s="2">
        <v>46043.770833333336</v>
      </c>
      <c r="C73" t="s">
        <v>55</v>
      </c>
      <c r="D73" t="s">
        <v>101</v>
      </c>
      <c r="E73" t="s">
        <v>20</v>
      </c>
      <c r="F73" t="s">
        <v>28</v>
      </c>
      <c r="G73">
        <v>2</v>
      </c>
      <c r="H73">
        <v>28000</v>
      </c>
      <c r="I73">
        <v>0.1</v>
      </c>
      <c r="J73">
        <v>25200</v>
      </c>
      <c r="K73">
        <v>50400</v>
      </c>
      <c r="L73">
        <v>34969.24</v>
      </c>
      <c r="M73">
        <v>15430.76</v>
      </c>
      <c r="N73" t="s">
        <v>22</v>
      </c>
      <c r="O73" t="s">
        <v>139</v>
      </c>
      <c r="P73">
        <v>1</v>
      </c>
      <c r="Q73" s="1">
        <v>0.306165873015873</v>
      </c>
    </row>
    <row r="74" spans="1:17" x14ac:dyDescent="0.3">
      <c r="A74" t="s">
        <v>158</v>
      </c>
      <c r="B74" s="2">
        <v>46045.384722222225</v>
      </c>
      <c r="C74" t="s">
        <v>86</v>
      </c>
      <c r="D74" t="s">
        <v>26</v>
      </c>
      <c r="E74" t="s">
        <v>27</v>
      </c>
      <c r="F74" t="s">
        <v>33</v>
      </c>
      <c r="G74">
        <v>3</v>
      </c>
      <c r="H74">
        <v>1200</v>
      </c>
      <c r="I74">
        <v>0.05</v>
      </c>
      <c r="J74">
        <v>1140</v>
      </c>
      <c r="K74">
        <v>3420</v>
      </c>
      <c r="L74">
        <v>2718.15</v>
      </c>
      <c r="M74">
        <v>701.85</v>
      </c>
      <c r="N74" t="s">
        <v>58</v>
      </c>
      <c r="O74" t="s">
        <v>139</v>
      </c>
      <c r="P74">
        <v>1</v>
      </c>
      <c r="Q74" s="1">
        <v>0.20521929824561405</v>
      </c>
    </row>
    <row r="75" spans="1:17" x14ac:dyDescent="0.3">
      <c r="A75" t="s">
        <v>159</v>
      </c>
      <c r="B75" s="2">
        <v>46046.6</v>
      </c>
      <c r="C75" t="s">
        <v>160</v>
      </c>
      <c r="D75" t="s">
        <v>19</v>
      </c>
      <c r="E75" t="s">
        <v>20</v>
      </c>
      <c r="F75" t="s">
        <v>33</v>
      </c>
      <c r="G75">
        <v>2</v>
      </c>
      <c r="H75">
        <v>15000</v>
      </c>
      <c r="I75">
        <v>0.1</v>
      </c>
      <c r="J75">
        <v>13500</v>
      </c>
      <c r="K75">
        <v>27000</v>
      </c>
      <c r="L75">
        <v>18801.060000000001</v>
      </c>
      <c r="M75">
        <v>8198.94</v>
      </c>
      <c r="N75" t="s">
        <v>29</v>
      </c>
      <c r="O75" t="s">
        <v>139</v>
      </c>
      <c r="P75">
        <v>1</v>
      </c>
      <c r="Q75" s="1">
        <v>0.30366444444444446</v>
      </c>
    </row>
    <row r="76" spans="1:17" x14ac:dyDescent="0.3">
      <c r="A76" t="s">
        <v>161</v>
      </c>
      <c r="B76" s="2">
        <v>46048.592361111114</v>
      </c>
      <c r="C76" t="s">
        <v>95</v>
      </c>
      <c r="D76" t="s">
        <v>101</v>
      </c>
      <c r="E76" t="s">
        <v>20</v>
      </c>
      <c r="F76" t="s">
        <v>28</v>
      </c>
      <c r="G76">
        <v>1</v>
      </c>
      <c r="H76">
        <v>28000</v>
      </c>
      <c r="I76">
        <v>0.05</v>
      </c>
      <c r="J76">
        <v>26600</v>
      </c>
      <c r="K76">
        <v>26600</v>
      </c>
      <c r="L76">
        <v>20883.580000000002</v>
      </c>
      <c r="M76">
        <v>5716.42</v>
      </c>
      <c r="N76" t="s">
        <v>29</v>
      </c>
      <c r="O76" t="s">
        <v>139</v>
      </c>
      <c r="P76">
        <v>1</v>
      </c>
      <c r="Q76" s="1">
        <v>0.21490300751879698</v>
      </c>
    </row>
    <row r="77" spans="1:17" x14ac:dyDescent="0.3">
      <c r="A77" t="s">
        <v>162</v>
      </c>
      <c r="B77" s="2">
        <v>46049.405555555553</v>
      </c>
      <c r="C77" t="s">
        <v>107</v>
      </c>
      <c r="D77" t="s">
        <v>92</v>
      </c>
      <c r="E77" t="s">
        <v>37</v>
      </c>
      <c r="F77" t="s">
        <v>33</v>
      </c>
      <c r="G77">
        <v>4</v>
      </c>
      <c r="H77">
        <v>8500</v>
      </c>
      <c r="I77">
        <v>0.1</v>
      </c>
      <c r="J77">
        <v>7650</v>
      </c>
      <c r="K77">
        <v>30600</v>
      </c>
      <c r="L77">
        <v>19337.02</v>
      </c>
      <c r="M77">
        <v>11262.98</v>
      </c>
      <c r="N77" t="s">
        <v>61</v>
      </c>
      <c r="O77" t="s">
        <v>139</v>
      </c>
      <c r="P77">
        <v>1</v>
      </c>
      <c r="Q77" s="1">
        <v>0.36807124183006534</v>
      </c>
    </row>
    <row r="78" spans="1:17" x14ac:dyDescent="0.3">
      <c r="A78" t="s">
        <v>163</v>
      </c>
      <c r="B78" s="2">
        <v>46050.474999999999</v>
      </c>
      <c r="C78" t="s">
        <v>164</v>
      </c>
      <c r="D78" t="s">
        <v>50</v>
      </c>
      <c r="E78" t="s">
        <v>20</v>
      </c>
      <c r="F78" t="s">
        <v>33</v>
      </c>
      <c r="G78">
        <v>2</v>
      </c>
      <c r="H78">
        <v>11000</v>
      </c>
      <c r="I78">
        <v>0</v>
      </c>
      <c r="J78">
        <v>11000</v>
      </c>
      <c r="K78">
        <v>22000</v>
      </c>
      <c r="L78">
        <v>17157.830000000002</v>
      </c>
      <c r="M78">
        <v>4842.17</v>
      </c>
      <c r="N78" t="s">
        <v>61</v>
      </c>
      <c r="O78" t="s">
        <v>139</v>
      </c>
      <c r="P78">
        <v>1</v>
      </c>
      <c r="Q78" s="1">
        <v>0.22009863636363636</v>
      </c>
    </row>
    <row r="79" spans="1:17" x14ac:dyDescent="0.3">
      <c r="A79" t="s">
        <v>165</v>
      </c>
      <c r="B79" s="2">
        <v>46051.520138888889</v>
      </c>
      <c r="C79" t="s">
        <v>166</v>
      </c>
      <c r="D79" t="s">
        <v>32</v>
      </c>
      <c r="E79" t="s">
        <v>20</v>
      </c>
      <c r="F79" t="s">
        <v>38</v>
      </c>
      <c r="G79">
        <v>1</v>
      </c>
      <c r="H79">
        <v>55000</v>
      </c>
      <c r="I79">
        <v>0</v>
      </c>
      <c r="J79">
        <v>55000</v>
      </c>
      <c r="K79">
        <v>55000</v>
      </c>
      <c r="L79">
        <v>42265.43</v>
      </c>
      <c r="M79">
        <v>12734.57</v>
      </c>
      <c r="N79" t="s">
        <v>61</v>
      </c>
      <c r="O79" t="s">
        <v>139</v>
      </c>
      <c r="P79">
        <v>1</v>
      </c>
      <c r="Q79" s="1">
        <v>0.23153763636363636</v>
      </c>
    </row>
    <row r="80" spans="1:17" x14ac:dyDescent="0.3">
      <c r="A80" t="s">
        <v>167</v>
      </c>
      <c r="B80" s="2">
        <v>46051.390277777777</v>
      </c>
      <c r="C80" t="s">
        <v>57</v>
      </c>
      <c r="D80" t="s">
        <v>42</v>
      </c>
      <c r="E80" t="s">
        <v>27</v>
      </c>
      <c r="F80" t="s">
        <v>33</v>
      </c>
      <c r="G80">
        <v>1</v>
      </c>
      <c r="H80">
        <v>1800</v>
      </c>
      <c r="I80">
        <v>0</v>
      </c>
      <c r="J80">
        <v>1800</v>
      </c>
      <c r="K80">
        <v>1800</v>
      </c>
      <c r="L80">
        <v>1382.38</v>
      </c>
      <c r="M80">
        <v>417.62</v>
      </c>
      <c r="N80" t="s">
        <v>58</v>
      </c>
      <c r="O80" t="s">
        <v>139</v>
      </c>
      <c r="P80">
        <v>1</v>
      </c>
      <c r="Q80" s="1">
        <v>0.23201111111111111</v>
      </c>
    </row>
    <row r="81" spans="1:17" x14ac:dyDescent="0.3">
      <c r="A81" t="s">
        <v>168</v>
      </c>
      <c r="B81" s="2">
        <v>46053.395138888889</v>
      </c>
      <c r="C81" t="s">
        <v>169</v>
      </c>
      <c r="D81" t="s">
        <v>26</v>
      </c>
      <c r="E81" t="s">
        <v>27</v>
      </c>
      <c r="F81" t="s">
        <v>28</v>
      </c>
      <c r="G81">
        <v>5</v>
      </c>
      <c r="H81">
        <v>1200</v>
      </c>
      <c r="I81">
        <v>0.05</v>
      </c>
      <c r="J81">
        <v>1140</v>
      </c>
      <c r="K81">
        <v>5700</v>
      </c>
      <c r="L81">
        <v>3742.65</v>
      </c>
      <c r="M81">
        <v>1957.35</v>
      </c>
      <c r="N81" t="s">
        <v>58</v>
      </c>
      <c r="O81" t="s">
        <v>139</v>
      </c>
      <c r="P81">
        <v>1</v>
      </c>
      <c r="Q81" s="1">
        <v>0.34339473684210525</v>
      </c>
    </row>
    <row r="82" spans="1:17" x14ac:dyDescent="0.3">
      <c r="A82" t="s">
        <v>170</v>
      </c>
      <c r="B82" s="2">
        <v>46082.859722222223</v>
      </c>
      <c r="C82" t="s">
        <v>47</v>
      </c>
      <c r="D82" t="s">
        <v>101</v>
      </c>
      <c r="E82" t="s">
        <v>20</v>
      </c>
      <c r="F82" t="s">
        <v>21</v>
      </c>
      <c r="G82">
        <v>4</v>
      </c>
      <c r="H82">
        <v>28000</v>
      </c>
      <c r="I82">
        <v>0.05</v>
      </c>
      <c r="J82">
        <v>26600</v>
      </c>
      <c r="K82">
        <v>106400</v>
      </c>
      <c r="L82">
        <v>86362.45</v>
      </c>
      <c r="M82">
        <v>20037.55</v>
      </c>
      <c r="N82" t="s">
        <v>29</v>
      </c>
      <c r="O82" t="s">
        <v>171</v>
      </c>
      <c r="P82">
        <v>3</v>
      </c>
      <c r="Q82" s="1">
        <v>0.18832283834586466</v>
      </c>
    </row>
    <row r="83" spans="1:17" x14ac:dyDescent="0.3">
      <c r="A83" t="s">
        <v>172</v>
      </c>
      <c r="B83" s="2">
        <v>46083.489583333336</v>
      </c>
      <c r="C83" t="s">
        <v>136</v>
      </c>
      <c r="D83" t="s">
        <v>42</v>
      </c>
      <c r="E83" t="s">
        <v>27</v>
      </c>
      <c r="F83" t="s">
        <v>28</v>
      </c>
      <c r="G83">
        <v>4</v>
      </c>
      <c r="H83">
        <v>1800</v>
      </c>
      <c r="I83">
        <v>0.05</v>
      </c>
      <c r="J83">
        <v>1710</v>
      </c>
      <c r="K83">
        <v>6840</v>
      </c>
      <c r="L83">
        <v>4526.1099999999997</v>
      </c>
      <c r="M83">
        <v>2313.89</v>
      </c>
      <c r="N83" t="s">
        <v>58</v>
      </c>
      <c r="O83" t="s">
        <v>171</v>
      </c>
      <c r="P83">
        <v>3</v>
      </c>
      <c r="Q83" s="1">
        <v>0.33828801169590639</v>
      </c>
    </row>
    <row r="84" spans="1:17" x14ac:dyDescent="0.3">
      <c r="A84" t="s">
        <v>173</v>
      </c>
      <c r="B84" s="2">
        <v>46086.869444444441</v>
      </c>
      <c r="C84" t="s">
        <v>174</v>
      </c>
      <c r="D84" t="s">
        <v>32</v>
      </c>
      <c r="E84" t="s">
        <v>20</v>
      </c>
      <c r="F84" t="s">
        <v>33</v>
      </c>
      <c r="G84">
        <v>5</v>
      </c>
      <c r="H84">
        <v>55000</v>
      </c>
      <c r="I84">
        <v>0.05</v>
      </c>
      <c r="J84">
        <v>52250</v>
      </c>
      <c r="K84">
        <v>261250</v>
      </c>
      <c r="L84">
        <v>167423</v>
      </c>
      <c r="M84">
        <v>93827</v>
      </c>
      <c r="N84" t="s">
        <v>61</v>
      </c>
      <c r="O84" t="s">
        <v>171</v>
      </c>
      <c r="P84">
        <v>3</v>
      </c>
      <c r="Q84" s="1">
        <v>0.3591464114832536</v>
      </c>
    </row>
    <row r="85" spans="1:17" x14ac:dyDescent="0.3">
      <c r="A85" t="s">
        <v>175</v>
      </c>
      <c r="B85" s="2">
        <v>46088.666666666664</v>
      </c>
      <c r="C85" t="s">
        <v>164</v>
      </c>
      <c r="D85" t="s">
        <v>50</v>
      </c>
      <c r="E85" t="s">
        <v>20</v>
      </c>
      <c r="F85" t="s">
        <v>21</v>
      </c>
      <c r="G85">
        <v>2</v>
      </c>
      <c r="H85">
        <v>11000</v>
      </c>
      <c r="I85">
        <v>0.05</v>
      </c>
      <c r="J85">
        <v>10450</v>
      </c>
      <c r="K85">
        <v>20900</v>
      </c>
      <c r="L85">
        <v>13001.52</v>
      </c>
      <c r="M85">
        <v>7898.48</v>
      </c>
      <c r="N85" t="s">
        <v>29</v>
      </c>
      <c r="O85" t="s">
        <v>171</v>
      </c>
      <c r="P85">
        <v>3</v>
      </c>
      <c r="Q85" s="1">
        <v>0.37791770334928226</v>
      </c>
    </row>
    <row r="86" spans="1:17" x14ac:dyDescent="0.3">
      <c r="A86" t="s">
        <v>176</v>
      </c>
      <c r="B86" s="2">
        <v>46088.734027777777</v>
      </c>
      <c r="C86" t="s">
        <v>25</v>
      </c>
      <c r="D86" t="s">
        <v>42</v>
      </c>
      <c r="E86" t="s">
        <v>27</v>
      </c>
      <c r="F86" t="s">
        <v>33</v>
      </c>
      <c r="G86">
        <v>1</v>
      </c>
      <c r="H86">
        <v>1800</v>
      </c>
      <c r="I86">
        <v>0.1</v>
      </c>
      <c r="J86">
        <v>1620</v>
      </c>
      <c r="K86">
        <v>1620</v>
      </c>
      <c r="L86">
        <v>1059.71</v>
      </c>
      <c r="M86">
        <v>560.29</v>
      </c>
      <c r="N86" t="s">
        <v>61</v>
      </c>
      <c r="O86" t="s">
        <v>171</v>
      </c>
      <c r="P86">
        <v>3</v>
      </c>
      <c r="Q86" s="1">
        <v>0.34585802469135801</v>
      </c>
    </row>
    <row r="87" spans="1:17" x14ac:dyDescent="0.3">
      <c r="A87" t="s">
        <v>177</v>
      </c>
      <c r="B87" s="2">
        <v>46091.674305555556</v>
      </c>
      <c r="C87" t="s">
        <v>126</v>
      </c>
      <c r="D87" t="s">
        <v>50</v>
      </c>
      <c r="E87" t="s">
        <v>20</v>
      </c>
      <c r="F87" t="s">
        <v>38</v>
      </c>
      <c r="G87">
        <v>1</v>
      </c>
      <c r="H87">
        <v>11000</v>
      </c>
      <c r="I87">
        <v>0.1</v>
      </c>
      <c r="J87">
        <v>9900</v>
      </c>
      <c r="K87">
        <v>9900</v>
      </c>
      <c r="L87">
        <v>7389.03</v>
      </c>
      <c r="M87">
        <v>2510.9699999999998</v>
      </c>
      <c r="N87" t="s">
        <v>22</v>
      </c>
      <c r="O87" t="s">
        <v>171</v>
      </c>
      <c r="P87">
        <v>3</v>
      </c>
      <c r="Q87" s="1">
        <v>0.25363333333333332</v>
      </c>
    </row>
    <row r="88" spans="1:17" x14ac:dyDescent="0.3">
      <c r="A88" t="s">
        <v>178</v>
      </c>
      <c r="B88" s="2">
        <v>46093.541666666664</v>
      </c>
      <c r="C88" t="s">
        <v>179</v>
      </c>
      <c r="D88" t="s">
        <v>70</v>
      </c>
      <c r="E88" t="s">
        <v>20</v>
      </c>
      <c r="F88" t="s">
        <v>28</v>
      </c>
      <c r="G88">
        <v>1</v>
      </c>
      <c r="H88">
        <v>3500</v>
      </c>
      <c r="I88">
        <v>0</v>
      </c>
      <c r="J88">
        <v>3500</v>
      </c>
      <c r="K88">
        <v>3500</v>
      </c>
      <c r="L88">
        <v>2544</v>
      </c>
      <c r="M88">
        <v>956</v>
      </c>
      <c r="N88" t="s">
        <v>22</v>
      </c>
      <c r="O88" t="s">
        <v>171</v>
      </c>
      <c r="P88">
        <v>3</v>
      </c>
      <c r="Q88" s="1">
        <v>0.27314285714285713</v>
      </c>
    </row>
    <row r="89" spans="1:17" x14ac:dyDescent="0.3">
      <c r="A89" t="s">
        <v>180</v>
      </c>
      <c r="B89" s="2">
        <v>46093.474305555559</v>
      </c>
      <c r="C89" t="s">
        <v>86</v>
      </c>
      <c r="D89" t="s">
        <v>26</v>
      </c>
      <c r="E89" t="s">
        <v>27</v>
      </c>
      <c r="F89" t="s">
        <v>21</v>
      </c>
      <c r="G89">
        <v>5</v>
      </c>
      <c r="H89">
        <v>1200</v>
      </c>
      <c r="I89">
        <v>0</v>
      </c>
      <c r="J89">
        <v>1200</v>
      </c>
      <c r="K89">
        <v>6000</v>
      </c>
      <c r="L89">
        <v>3947.58</v>
      </c>
      <c r="M89">
        <v>2052.42</v>
      </c>
      <c r="N89" t="s">
        <v>39</v>
      </c>
      <c r="O89" t="s">
        <v>171</v>
      </c>
      <c r="P89">
        <v>3</v>
      </c>
      <c r="Q89" s="1">
        <v>0.34206999999999999</v>
      </c>
    </row>
    <row r="90" spans="1:17" x14ac:dyDescent="0.3">
      <c r="A90" t="s">
        <v>181</v>
      </c>
      <c r="B90" s="2">
        <v>46093.503472222219</v>
      </c>
      <c r="C90" t="s">
        <v>66</v>
      </c>
      <c r="D90" t="s">
        <v>36</v>
      </c>
      <c r="E90" t="s">
        <v>37</v>
      </c>
      <c r="F90" t="s">
        <v>38</v>
      </c>
      <c r="G90">
        <v>3</v>
      </c>
      <c r="H90">
        <v>12000</v>
      </c>
      <c r="I90">
        <v>0</v>
      </c>
      <c r="J90">
        <v>12000</v>
      </c>
      <c r="K90">
        <v>36000</v>
      </c>
      <c r="L90">
        <v>25340.28</v>
      </c>
      <c r="M90">
        <v>10659.72</v>
      </c>
      <c r="N90" t="s">
        <v>29</v>
      </c>
      <c r="O90" t="s">
        <v>171</v>
      </c>
      <c r="P90">
        <v>3</v>
      </c>
      <c r="Q90" s="1">
        <v>0.29610333333333333</v>
      </c>
    </row>
    <row r="91" spans="1:17" x14ac:dyDescent="0.3">
      <c r="A91" t="s">
        <v>182</v>
      </c>
      <c r="B91" s="2">
        <v>46095.59097222222</v>
      </c>
      <c r="C91" t="s">
        <v>100</v>
      </c>
      <c r="D91" t="s">
        <v>32</v>
      </c>
      <c r="E91" t="s">
        <v>20</v>
      </c>
      <c r="F91" t="s">
        <v>28</v>
      </c>
      <c r="G91">
        <v>2</v>
      </c>
      <c r="H91">
        <v>55000</v>
      </c>
      <c r="I91">
        <v>0.05</v>
      </c>
      <c r="J91">
        <v>52250</v>
      </c>
      <c r="K91">
        <v>104500</v>
      </c>
      <c r="L91">
        <v>82298.240000000005</v>
      </c>
      <c r="M91">
        <v>22201.759999999998</v>
      </c>
      <c r="N91" t="s">
        <v>58</v>
      </c>
      <c r="O91" t="s">
        <v>171</v>
      </c>
      <c r="P91">
        <v>3</v>
      </c>
      <c r="Q91" s="1">
        <v>0.21245703349282294</v>
      </c>
    </row>
    <row r="92" spans="1:17" x14ac:dyDescent="0.3">
      <c r="A92" t="s">
        <v>183</v>
      </c>
      <c r="B92" s="2">
        <v>46095.814583333333</v>
      </c>
      <c r="C92" t="s">
        <v>184</v>
      </c>
      <c r="D92" t="s">
        <v>45</v>
      </c>
      <c r="E92" t="s">
        <v>27</v>
      </c>
      <c r="F92" t="s">
        <v>38</v>
      </c>
      <c r="G92">
        <v>3</v>
      </c>
      <c r="H92">
        <v>2200</v>
      </c>
      <c r="I92">
        <v>0</v>
      </c>
      <c r="J92">
        <v>2200</v>
      </c>
      <c r="K92">
        <v>6600</v>
      </c>
      <c r="L92">
        <v>4143.45</v>
      </c>
      <c r="M92">
        <v>2456.5500000000002</v>
      </c>
      <c r="N92" t="s">
        <v>58</v>
      </c>
      <c r="O92" t="s">
        <v>171</v>
      </c>
      <c r="P92">
        <v>3</v>
      </c>
      <c r="Q92" s="1">
        <v>0.37220454545454545</v>
      </c>
    </row>
    <row r="93" spans="1:17" x14ac:dyDescent="0.3">
      <c r="A93" t="s">
        <v>185</v>
      </c>
      <c r="B93" s="2">
        <v>46096.474305555559</v>
      </c>
      <c r="C93" t="s">
        <v>95</v>
      </c>
      <c r="D93" t="s">
        <v>101</v>
      </c>
      <c r="E93" t="s">
        <v>20</v>
      </c>
      <c r="F93" t="s">
        <v>33</v>
      </c>
      <c r="G93">
        <v>5</v>
      </c>
      <c r="H93">
        <v>28000</v>
      </c>
      <c r="I93">
        <v>0.05</v>
      </c>
      <c r="J93">
        <v>26600</v>
      </c>
      <c r="K93">
        <v>133000</v>
      </c>
      <c r="L93">
        <v>84151.88</v>
      </c>
      <c r="M93">
        <v>48848.12</v>
      </c>
      <c r="N93" t="s">
        <v>22</v>
      </c>
      <c r="O93" t="s">
        <v>171</v>
      </c>
      <c r="P93">
        <v>3</v>
      </c>
      <c r="Q93" s="1">
        <v>0.36727909774436091</v>
      </c>
    </row>
    <row r="94" spans="1:17" x14ac:dyDescent="0.3">
      <c r="A94" t="s">
        <v>186</v>
      </c>
      <c r="B94" s="2">
        <v>46097.54791666667</v>
      </c>
      <c r="C94" t="s">
        <v>187</v>
      </c>
      <c r="D94" t="s">
        <v>42</v>
      </c>
      <c r="E94" t="s">
        <v>27</v>
      </c>
      <c r="F94" t="s">
        <v>28</v>
      </c>
      <c r="G94">
        <v>2</v>
      </c>
      <c r="H94">
        <v>1800</v>
      </c>
      <c r="I94">
        <v>0.05</v>
      </c>
      <c r="J94">
        <v>1710</v>
      </c>
      <c r="K94">
        <v>3420</v>
      </c>
      <c r="L94">
        <v>2668.85</v>
      </c>
      <c r="M94">
        <v>751.15</v>
      </c>
      <c r="N94" t="s">
        <v>58</v>
      </c>
      <c r="O94" t="s">
        <v>171</v>
      </c>
      <c r="P94">
        <v>3</v>
      </c>
      <c r="Q94" s="1">
        <v>0.2196345029239766</v>
      </c>
    </row>
    <row r="95" spans="1:17" x14ac:dyDescent="0.3">
      <c r="A95" t="s">
        <v>188</v>
      </c>
      <c r="B95" s="2">
        <v>46099.763194444444</v>
      </c>
      <c r="C95" t="s">
        <v>107</v>
      </c>
      <c r="D95" t="s">
        <v>36</v>
      </c>
      <c r="E95" t="s">
        <v>37</v>
      </c>
      <c r="F95" t="s">
        <v>33</v>
      </c>
      <c r="G95">
        <v>4</v>
      </c>
      <c r="H95">
        <v>12000</v>
      </c>
      <c r="I95">
        <v>0</v>
      </c>
      <c r="J95">
        <v>12000</v>
      </c>
      <c r="K95">
        <v>48000</v>
      </c>
      <c r="L95">
        <v>35197.81</v>
      </c>
      <c r="M95">
        <v>12802.19</v>
      </c>
      <c r="N95" t="s">
        <v>22</v>
      </c>
      <c r="O95" t="s">
        <v>171</v>
      </c>
      <c r="P95">
        <v>3</v>
      </c>
      <c r="Q95" s="1">
        <v>0.26671229166666666</v>
      </c>
    </row>
    <row r="96" spans="1:17" x14ac:dyDescent="0.3">
      <c r="A96" t="s">
        <v>189</v>
      </c>
      <c r="B96" s="2">
        <v>46099.454861111109</v>
      </c>
      <c r="C96" t="s">
        <v>117</v>
      </c>
      <c r="D96" t="s">
        <v>42</v>
      </c>
      <c r="E96" t="s">
        <v>27</v>
      </c>
      <c r="F96" t="s">
        <v>28</v>
      </c>
      <c r="G96">
        <v>4</v>
      </c>
      <c r="H96">
        <v>1800</v>
      </c>
      <c r="I96">
        <v>0.1</v>
      </c>
      <c r="J96">
        <v>1620</v>
      </c>
      <c r="K96">
        <v>6480</v>
      </c>
      <c r="L96">
        <v>4131.33</v>
      </c>
      <c r="M96">
        <v>2348.67</v>
      </c>
      <c r="N96" t="s">
        <v>22</v>
      </c>
      <c r="O96" t="s">
        <v>171</v>
      </c>
      <c r="P96">
        <v>3</v>
      </c>
      <c r="Q96" s="1">
        <v>0.36244907407407406</v>
      </c>
    </row>
    <row r="97" spans="1:17" x14ac:dyDescent="0.3">
      <c r="A97" t="s">
        <v>190</v>
      </c>
      <c r="B97" s="2">
        <v>46099.375</v>
      </c>
      <c r="C97" t="s">
        <v>47</v>
      </c>
      <c r="D97" t="s">
        <v>45</v>
      </c>
      <c r="E97" t="s">
        <v>27</v>
      </c>
      <c r="F97" t="s">
        <v>21</v>
      </c>
      <c r="G97">
        <v>4</v>
      </c>
      <c r="H97">
        <v>2200</v>
      </c>
      <c r="I97">
        <v>0</v>
      </c>
      <c r="J97">
        <v>2200</v>
      </c>
      <c r="K97">
        <v>8800</v>
      </c>
      <c r="L97">
        <v>5626.34</v>
      </c>
      <c r="M97">
        <v>3173.66</v>
      </c>
      <c r="N97" t="s">
        <v>51</v>
      </c>
      <c r="O97" t="s">
        <v>171</v>
      </c>
      <c r="P97">
        <v>3</v>
      </c>
      <c r="Q97" s="1">
        <v>0.36064318181818178</v>
      </c>
    </row>
    <row r="98" spans="1:17" x14ac:dyDescent="0.3">
      <c r="A98" t="s">
        <v>191</v>
      </c>
      <c r="B98" s="2">
        <v>46100.666666666664</v>
      </c>
      <c r="C98" t="s">
        <v>126</v>
      </c>
      <c r="D98" t="s">
        <v>26</v>
      </c>
      <c r="E98" t="s">
        <v>27</v>
      </c>
      <c r="F98" t="s">
        <v>33</v>
      </c>
      <c r="G98">
        <v>4</v>
      </c>
      <c r="H98">
        <v>1200</v>
      </c>
      <c r="I98">
        <v>0</v>
      </c>
      <c r="J98">
        <v>1200</v>
      </c>
      <c r="K98">
        <v>4800</v>
      </c>
      <c r="L98">
        <v>3114.77</v>
      </c>
      <c r="M98">
        <v>1685.23</v>
      </c>
      <c r="N98" t="s">
        <v>58</v>
      </c>
      <c r="O98" t="s">
        <v>171</v>
      </c>
      <c r="P98">
        <v>3</v>
      </c>
      <c r="Q98" s="1">
        <v>0.35108958333333334</v>
      </c>
    </row>
    <row r="99" spans="1:17" x14ac:dyDescent="0.3">
      <c r="A99" t="s">
        <v>192</v>
      </c>
      <c r="B99" s="2">
        <v>46102.806944444441</v>
      </c>
      <c r="C99" t="s">
        <v>193</v>
      </c>
      <c r="D99" t="s">
        <v>19</v>
      </c>
      <c r="E99" t="s">
        <v>20</v>
      </c>
      <c r="F99" t="s">
        <v>28</v>
      </c>
      <c r="G99">
        <v>3</v>
      </c>
      <c r="H99">
        <v>15000</v>
      </c>
      <c r="I99">
        <v>0</v>
      </c>
      <c r="J99">
        <v>15000</v>
      </c>
      <c r="K99">
        <v>45000</v>
      </c>
      <c r="L99">
        <v>30871.85</v>
      </c>
      <c r="M99">
        <v>14128.15</v>
      </c>
      <c r="N99" t="s">
        <v>58</v>
      </c>
      <c r="O99" t="s">
        <v>171</v>
      </c>
      <c r="P99">
        <v>3</v>
      </c>
      <c r="Q99" s="1">
        <v>0.3139588888888889</v>
      </c>
    </row>
    <row r="100" spans="1:17" x14ac:dyDescent="0.3">
      <c r="A100" t="s">
        <v>194</v>
      </c>
      <c r="B100" s="2">
        <v>46105.470833333333</v>
      </c>
      <c r="C100" t="s">
        <v>195</v>
      </c>
      <c r="D100" t="s">
        <v>32</v>
      </c>
      <c r="E100" t="s">
        <v>20</v>
      </c>
      <c r="F100" t="s">
        <v>38</v>
      </c>
      <c r="G100">
        <v>4</v>
      </c>
      <c r="H100">
        <v>55000</v>
      </c>
      <c r="I100">
        <v>0</v>
      </c>
      <c r="J100">
        <v>55000</v>
      </c>
      <c r="K100">
        <v>220000</v>
      </c>
      <c r="L100">
        <v>156473.42000000001</v>
      </c>
      <c r="M100">
        <v>63526.58</v>
      </c>
      <c r="N100" t="s">
        <v>39</v>
      </c>
      <c r="O100" t="s">
        <v>171</v>
      </c>
      <c r="P100">
        <v>3</v>
      </c>
      <c r="Q100" s="1">
        <v>0.28875718181818183</v>
      </c>
    </row>
    <row r="101" spans="1:17" x14ac:dyDescent="0.3">
      <c r="A101" t="s">
        <v>196</v>
      </c>
      <c r="B101" s="2">
        <v>46105.76458333333</v>
      </c>
      <c r="C101" t="s">
        <v>197</v>
      </c>
      <c r="D101" t="s">
        <v>70</v>
      </c>
      <c r="E101" t="s">
        <v>20</v>
      </c>
      <c r="F101" t="s">
        <v>38</v>
      </c>
      <c r="G101">
        <v>1</v>
      </c>
      <c r="H101">
        <v>3500</v>
      </c>
      <c r="I101">
        <v>0.15</v>
      </c>
      <c r="J101">
        <v>2975</v>
      </c>
      <c r="K101">
        <v>2975</v>
      </c>
      <c r="L101">
        <v>2109.98</v>
      </c>
      <c r="M101">
        <v>865.02</v>
      </c>
      <c r="N101" t="s">
        <v>39</v>
      </c>
      <c r="O101" t="s">
        <v>171</v>
      </c>
      <c r="P101">
        <v>3</v>
      </c>
      <c r="Q101" s="1">
        <v>0.29076302521008401</v>
      </c>
    </row>
    <row r="102" spans="1:17" x14ac:dyDescent="0.3">
      <c r="A102" t="s">
        <v>198</v>
      </c>
      <c r="B102" s="2">
        <v>46105.779166666667</v>
      </c>
      <c r="C102" t="s">
        <v>109</v>
      </c>
      <c r="D102" t="s">
        <v>92</v>
      </c>
      <c r="E102" t="s">
        <v>37</v>
      </c>
      <c r="F102" t="s">
        <v>33</v>
      </c>
      <c r="G102">
        <v>1</v>
      </c>
      <c r="H102">
        <v>8500</v>
      </c>
      <c r="I102">
        <v>0.1</v>
      </c>
      <c r="J102">
        <v>7650</v>
      </c>
      <c r="K102">
        <v>7650</v>
      </c>
      <c r="L102">
        <v>6152.53</v>
      </c>
      <c r="M102">
        <v>1497.47</v>
      </c>
      <c r="N102" t="s">
        <v>29</v>
      </c>
      <c r="O102" t="s">
        <v>171</v>
      </c>
      <c r="P102">
        <v>3</v>
      </c>
      <c r="Q102" s="1">
        <v>0.19574771241830066</v>
      </c>
    </row>
    <row r="103" spans="1:17" x14ac:dyDescent="0.3">
      <c r="A103" t="s">
        <v>199</v>
      </c>
      <c r="B103" s="2">
        <v>46107.441666666666</v>
      </c>
      <c r="C103" t="s">
        <v>200</v>
      </c>
      <c r="D103" t="s">
        <v>42</v>
      </c>
      <c r="E103" t="s">
        <v>27</v>
      </c>
      <c r="F103" t="s">
        <v>28</v>
      </c>
      <c r="G103">
        <v>3</v>
      </c>
      <c r="H103">
        <v>1800</v>
      </c>
      <c r="I103">
        <v>0.1</v>
      </c>
      <c r="J103">
        <v>1620</v>
      </c>
      <c r="K103">
        <v>4860</v>
      </c>
      <c r="L103">
        <v>3039.25</v>
      </c>
      <c r="M103">
        <v>1820.75</v>
      </c>
      <c r="N103" t="s">
        <v>39</v>
      </c>
      <c r="O103" t="s">
        <v>171</v>
      </c>
      <c r="P103">
        <v>3</v>
      </c>
      <c r="Q103" s="1">
        <v>0.37463991769547322</v>
      </c>
    </row>
    <row r="104" spans="1:17" x14ac:dyDescent="0.3">
      <c r="A104" t="s">
        <v>201</v>
      </c>
      <c r="B104" s="2">
        <v>46107.651388888888</v>
      </c>
      <c r="C104" t="s">
        <v>169</v>
      </c>
      <c r="D104" t="s">
        <v>42</v>
      </c>
      <c r="E104" t="s">
        <v>27</v>
      </c>
      <c r="F104" t="s">
        <v>33</v>
      </c>
      <c r="G104">
        <v>2</v>
      </c>
      <c r="H104">
        <v>1800</v>
      </c>
      <c r="I104">
        <v>0</v>
      </c>
      <c r="J104">
        <v>1800</v>
      </c>
      <c r="K104">
        <v>3600</v>
      </c>
      <c r="L104">
        <v>2692.67</v>
      </c>
      <c r="M104">
        <v>907.33</v>
      </c>
      <c r="N104" t="s">
        <v>51</v>
      </c>
      <c r="O104" t="s">
        <v>171</v>
      </c>
      <c r="P104">
        <v>3</v>
      </c>
      <c r="Q104" s="1">
        <v>0.25203611111111113</v>
      </c>
    </row>
    <row r="105" spans="1:17" x14ac:dyDescent="0.3">
      <c r="A105" t="s">
        <v>202</v>
      </c>
      <c r="B105" s="2">
        <v>46111.373611111114</v>
      </c>
      <c r="C105" t="s">
        <v>31</v>
      </c>
      <c r="D105" t="s">
        <v>92</v>
      </c>
      <c r="E105" t="s">
        <v>37</v>
      </c>
      <c r="F105" t="s">
        <v>38</v>
      </c>
      <c r="G105">
        <v>2</v>
      </c>
      <c r="H105">
        <v>8500</v>
      </c>
      <c r="I105">
        <v>0.1</v>
      </c>
      <c r="J105">
        <v>7650</v>
      </c>
      <c r="K105">
        <v>15300</v>
      </c>
      <c r="L105">
        <v>12097.4</v>
      </c>
      <c r="M105">
        <v>3202.6</v>
      </c>
      <c r="N105" t="s">
        <v>22</v>
      </c>
      <c r="O105" t="s">
        <v>171</v>
      </c>
      <c r="P105">
        <v>3</v>
      </c>
      <c r="Q105" s="1">
        <v>0.20932026143790849</v>
      </c>
    </row>
    <row r="106" spans="1:17" x14ac:dyDescent="0.3">
      <c r="A106" t="s">
        <v>203</v>
      </c>
      <c r="B106" s="2">
        <v>46112.729861111111</v>
      </c>
      <c r="C106" t="s">
        <v>131</v>
      </c>
      <c r="D106" t="s">
        <v>42</v>
      </c>
      <c r="E106" t="s">
        <v>27</v>
      </c>
      <c r="F106" t="s">
        <v>33</v>
      </c>
      <c r="G106">
        <v>5</v>
      </c>
      <c r="H106">
        <v>1800</v>
      </c>
      <c r="I106">
        <v>0.05</v>
      </c>
      <c r="J106">
        <v>1710</v>
      </c>
      <c r="K106">
        <v>8550</v>
      </c>
      <c r="L106">
        <v>5840.91</v>
      </c>
      <c r="M106">
        <v>2709.09</v>
      </c>
      <c r="N106" t="s">
        <v>61</v>
      </c>
      <c r="O106" t="s">
        <v>171</v>
      </c>
      <c r="P106">
        <v>3</v>
      </c>
      <c r="Q106" s="1">
        <v>0.31685263157894739</v>
      </c>
    </row>
    <row r="107" spans="1:17" x14ac:dyDescent="0.3">
      <c r="A107" t="s">
        <v>204</v>
      </c>
      <c r="B107" s="2">
        <v>46143.372916666667</v>
      </c>
      <c r="C107" t="s">
        <v>47</v>
      </c>
      <c r="D107" t="s">
        <v>45</v>
      </c>
      <c r="E107" t="s">
        <v>27</v>
      </c>
      <c r="F107" t="s">
        <v>38</v>
      </c>
      <c r="G107">
        <v>2</v>
      </c>
      <c r="H107">
        <v>2200</v>
      </c>
      <c r="I107">
        <v>0</v>
      </c>
      <c r="J107">
        <v>2200</v>
      </c>
      <c r="K107">
        <v>4400</v>
      </c>
      <c r="L107">
        <v>2767.93</v>
      </c>
      <c r="M107">
        <v>1632.07</v>
      </c>
      <c r="N107" t="s">
        <v>29</v>
      </c>
      <c r="O107" t="s">
        <v>205</v>
      </c>
      <c r="P107">
        <v>5</v>
      </c>
      <c r="Q107" s="1">
        <v>0.370925</v>
      </c>
    </row>
    <row r="108" spans="1:17" x14ac:dyDescent="0.3">
      <c r="A108" t="s">
        <v>206</v>
      </c>
      <c r="B108" s="2">
        <v>46144.461111111108</v>
      </c>
      <c r="C108" t="s">
        <v>207</v>
      </c>
      <c r="D108" t="s">
        <v>42</v>
      </c>
      <c r="E108" t="s">
        <v>27</v>
      </c>
      <c r="F108" t="s">
        <v>33</v>
      </c>
      <c r="G108">
        <v>3</v>
      </c>
      <c r="H108">
        <v>1800</v>
      </c>
      <c r="I108">
        <v>0</v>
      </c>
      <c r="J108">
        <v>1800</v>
      </c>
      <c r="K108">
        <v>5400</v>
      </c>
      <c r="L108">
        <v>3659.92</v>
      </c>
      <c r="M108">
        <v>1740.08</v>
      </c>
      <c r="N108" t="s">
        <v>51</v>
      </c>
      <c r="O108" t="s">
        <v>205</v>
      </c>
      <c r="P108">
        <v>5</v>
      </c>
      <c r="Q108" s="1">
        <v>0.32223703703703704</v>
      </c>
    </row>
    <row r="109" spans="1:17" x14ac:dyDescent="0.3">
      <c r="A109" t="s">
        <v>208</v>
      </c>
      <c r="B109" s="2">
        <v>46146.759722222225</v>
      </c>
      <c r="C109" t="s">
        <v>84</v>
      </c>
      <c r="D109" t="s">
        <v>19</v>
      </c>
      <c r="E109" t="s">
        <v>20</v>
      </c>
      <c r="F109" t="s">
        <v>38</v>
      </c>
      <c r="G109">
        <v>1</v>
      </c>
      <c r="H109">
        <v>15000</v>
      </c>
      <c r="I109">
        <v>0.15</v>
      </c>
      <c r="J109">
        <v>12750</v>
      </c>
      <c r="K109">
        <v>12750</v>
      </c>
      <c r="L109">
        <v>9115.9599999999991</v>
      </c>
      <c r="M109">
        <v>3634.04</v>
      </c>
      <c r="N109" t="s">
        <v>51</v>
      </c>
      <c r="O109" t="s">
        <v>205</v>
      </c>
      <c r="P109">
        <v>5</v>
      </c>
      <c r="Q109" s="1">
        <v>0.28502274509803921</v>
      </c>
    </row>
    <row r="110" spans="1:17" x14ac:dyDescent="0.3">
      <c r="A110" t="s">
        <v>209</v>
      </c>
      <c r="B110" s="2">
        <v>46146.854861111111</v>
      </c>
      <c r="C110" t="s">
        <v>88</v>
      </c>
      <c r="D110" t="s">
        <v>101</v>
      </c>
      <c r="E110" t="s">
        <v>20</v>
      </c>
      <c r="F110" t="s">
        <v>21</v>
      </c>
      <c r="G110">
        <v>2</v>
      </c>
      <c r="H110">
        <v>28000</v>
      </c>
      <c r="I110">
        <v>0</v>
      </c>
      <c r="J110">
        <v>28000</v>
      </c>
      <c r="K110">
        <v>56000</v>
      </c>
      <c r="L110">
        <v>34774.46</v>
      </c>
      <c r="M110">
        <v>21225.54</v>
      </c>
      <c r="N110" t="s">
        <v>39</v>
      </c>
      <c r="O110" t="s">
        <v>205</v>
      </c>
      <c r="P110">
        <v>5</v>
      </c>
      <c r="Q110" s="1">
        <v>0.37902750000000002</v>
      </c>
    </row>
    <row r="111" spans="1:17" x14ac:dyDescent="0.3">
      <c r="A111" t="s">
        <v>210</v>
      </c>
      <c r="B111" s="2">
        <v>46148.756249999999</v>
      </c>
      <c r="C111" t="s">
        <v>129</v>
      </c>
      <c r="D111" t="s">
        <v>50</v>
      </c>
      <c r="E111" t="s">
        <v>20</v>
      </c>
      <c r="F111" t="s">
        <v>21</v>
      </c>
      <c r="G111">
        <v>3</v>
      </c>
      <c r="H111">
        <v>11000</v>
      </c>
      <c r="I111">
        <v>0.1</v>
      </c>
      <c r="J111">
        <v>9900</v>
      </c>
      <c r="K111">
        <v>29700</v>
      </c>
      <c r="L111">
        <v>22988.43</v>
      </c>
      <c r="M111">
        <v>6711.57</v>
      </c>
      <c r="N111" t="s">
        <v>61</v>
      </c>
      <c r="O111" t="s">
        <v>205</v>
      </c>
      <c r="P111">
        <v>5</v>
      </c>
      <c r="Q111" s="1">
        <v>0.22597878787878786</v>
      </c>
    </row>
    <row r="112" spans="1:17" x14ac:dyDescent="0.3">
      <c r="A112" t="s">
        <v>211</v>
      </c>
      <c r="B112" s="2">
        <v>46150.647222222222</v>
      </c>
      <c r="C112" t="s">
        <v>141</v>
      </c>
      <c r="D112" t="s">
        <v>19</v>
      </c>
      <c r="E112" t="s">
        <v>20</v>
      </c>
      <c r="F112" t="s">
        <v>33</v>
      </c>
      <c r="G112">
        <v>3</v>
      </c>
      <c r="H112">
        <v>15000</v>
      </c>
      <c r="I112">
        <v>0</v>
      </c>
      <c r="J112">
        <v>15000</v>
      </c>
      <c r="K112">
        <v>45000</v>
      </c>
      <c r="L112">
        <v>29971.95</v>
      </c>
      <c r="M112">
        <v>15028.05</v>
      </c>
      <c r="N112" t="s">
        <v>39</v>
      </c>
      <c r="O112" t="s">
        <v>205</v>
      </c>
      <c r="P112">
        <v>5</v>
      </c>
      <c r="Q112" s="1">
        <v>0.33395666666666662</v>
      </c>
    </row>
    <row r="113" spans="1:17" x14ac:dyDescent="0.3">
      <c r="A113" t="s">
        <v>212</v>
      </c>
      <c r="B113" s="2">
        <v>46152.795138888891</v>
      </c>
      <c r="C113" t="s">
        <v>25</v>
      </c>
      <c r="D113" t="s">
        <v>19</v>
      </c>
      <c r="E113" t="s">
        <v>20</v>
      </c>
      <c r="F113" t="s">
        <v>38</v>
      </c>
      <c r="G113">
        <v>2</v>
      </c>
      <c r="H113">
        <v>15000</v>
      </c>
      <c r="I113">
        <v>0.15</v>
      </c>
      <c r="J113">
        <v>12750</v>
      </c>
      <c r="K113">
        <v>25500</v>
      </c>
      <c r="L113">
        <v>20400.52</v>
      </c>
      <c r="M113">
        <v>5099.4799999999996</v>
      </c>
      <c r="N113" t="s">
        <v>58</v>
      </c>
      <c r="O113" t="s">
        <v>205</v>
      </c>
      <c r="P113">
        <v>5</v>
      </c>
      <c r="Q113" s="1">
        <v>0.19997960784313723</v>
      </c>
    </row>
    <row r="114" spans="1:17" x14ac:dyDescent="0.3">
      <c r="A114" t="s">
        <v>213</v>
      </c>
      <c r="B114" s="2">
        <v>46153.615277777775</v>
      </c>
      <c r="C114" t="s">
        <v>214</v>
      </c>
      <c r="D114" t="s">
        <v>50</v>
      </c>
      <c r="E114" t="s">
        <v>20</v>
      </c>
      <c r="F114" t="s">
        <v>21</v>
      </c>
      <c r="G114">
        <v>1</v>
      </c>
      <c r="H114">
        <v>11000</v>
      </c>
      <c r="I114">
        <v>0.05</v>
      </c>
      <c r="J114">
        <v>10450</v>
      </c>
      <c r="K114">
        <v>10450</v>
      </c>
      <c r="L114">
        <v>7208.06</v>
      </c>
      <c r="M114">
        <v>3241.94</v>
      </c>
      <c r="N114" t="s">
        <v>29</v>
      </c>
      <c r="O114" t="s">
        <v>205</v>
      </c>
      <c r="P114">
        <v>5</v>
      </c>
      <c r="Q114" s="1">
        <v>0.31023349282296653</v>
      </c>
    </row>
    <row r="115" spans="1:17" x14ac:dyDescent="0.3">
      <c r="A115" t="s">
        <v>215</v>
      </c>
      <c r="B115" s="2">
        <v>46153.695138888892</v>
      </c>
      <c r="C115" t="s">
        <v>216</v>
      </c>
      <c r="D115" t="s">
        <v>32</v>
      </c>
      <c r="E115" t="s">
        <v>20</v>
      </c>
      <c r="F115" t="s">
        <v>21</v>
      </c>
      <c r="G115">
        <v>3</v>
      </c>
      <c r="H115">
        <v>55000</v>
      </c>
      <c r="I115">
        <v>0.1</v>
      </c>
      <c r="J115">
        <v>49500</v>
      </c>
      <c r="K115">
        <v>148500</v>
      </c>
      <c r="L115">
        <v>100637.73</v>
      </c>
      <c r="M115">
        <v>47862.27</v>
      </c>
      <c r="N115" t="s">
        <v>61</v>
      </c>
      <c r="O115" t="s">
        <v>205</v>
      </c>
      <c r="P115">
        <v>5</v>
      </c>
      <c r="Q115" s="1">
        <v>0.32230484848484847</v>
      </c>
    </row>
    <row r="116" spans="1:17" x14ac:dyDescent="0.3">
      <c r="A116" t="s">
        <v>217</v>
      </c>
      <c r="B116" s="2">
        <v>46154.463194444441</v>
      </c>
      <c r="C116" t="s">
        <v>18</v>
      </c>
      <c r="D116" t="s">
        <v>70</v>
      </c>
      <c r="E116" t="s">
        <v>20</v>
      </c>
      <c r="F116" t="s">
        <v>21</v>
      </c>
      <c r="G116">
        <v>3</v>
      </c>
      <c r="H116">
        <v>3500</v>
      </c>
      <c r="I116">
        <v>0</v>
      </c>
      <c r="J116">
        <v>3500</v>
      </c>
      <c r="K116">
        <v>10500</v>
      </c>
      <c r="L116">
        <v>7675.21</v>
      </c>
      <c r="M116">
        <v>2824.79</v>
      </c>
      <c r="N116" t="s">
        <v>29</v>
      </c>
      <c r="O116" t="s">
        <v>205</v>
      </c>
      <c r="P116">
        <v>5</v>
      </c>
      <c r="Q116" s="1">
        <v>0.26902761904761907</v>
      </c>
    </row>
    <row r="117" spans="1:17" x14ac:dyDescent="0.3">
      <c r="A117" t="s">
        <v>218</v>
      </c>
      <c r="B117" s="2">
        <v>46155.440972222219</v>
      </c>
      <c r="C117" t="s">
        <v>219</v>
      </c>
      <c r="D117" t="s">
        <v>26</v>
      </c>
      <c r="E117" t="s">
        <v>27</v>
      </c>
      <c r="F117" t="s">
        <v>38</v>
      </c>
      <c r="G117">
        <v>1</v>
      </c>
      <c r="H117">
        <v>1200</v>
      </c>
      <c r="I117">
        <v>0.1</v>
      </c>
      <c r="J117">
        <v>1080</v>
      </c>
      <c r="K117">
        <v>1080</v>
      </c>
      <c r="L117">
        <v>815.6</v>
      </c>
      <c r="M117">
        <v>264.39999999999998</v>
      </c>
      <c r="N117" t="s">
        <v>39</v>
      </c>
      <c r="O117" t="s">
        <v>205</v>
      </c>
      <c r="P117">
        <v>5</v>
      </c>
      <c r="Q117" s="1">
        <v>0.24481481481481479</v>
      </c>
    </row>
    <row r="118" spans="1:17" x14ac:dyDescent="0.3">
      <c r="A118" t="s">
        <v>220</v>
      </c>
      <c r="B118" s="2">
        <v>46156.708333333336</v>
      </c>
      <c r="C118" t="s">
        <v>160</v>
      </c>
      <c r="D118" t="s">
        <v>42</v>
      </c>
      <c r="E118" t="s">
        <v>27</v>
      </c>
      <c r="F118" t="s">
        <v>33</v>
      </c>
      <c r="G118">
        <v>5</v>
      </c>
      <c r="H118">
        <v>1800</v>
      </c>
      <c r="I118">
        <v>0</v>
      </c>
      <c r="J118">
        <v>1800</v>
      </c>
      <c r="K118">
        <v>9000</v>
      </c>
      <c r="L118">
        <v>5780.13</v>
      </c>
      <c r="M118">
        <v>3219.87</v>
      </c>
      <c r="N118" t="s">
        <v>61</v>
      </c>
      <c r="O118" t="s">
        <v>205</v>
      </c>
      <c r="P118">
        <v>5</v>
      </c>
      <c r="Q118" s="1">
        <v>0.35776333333333332</v>
      </c>
    </row>
    <row r="119" spans="1:17" x14ac:dyDescent="0.3">
      <c r="A119" t="s">
        <v>221</v>
      </c>
      <c r="B119" s="2">
        <v>46156.334722222222</v>
      </c>
      <c r="C119" t="s">
        <v>49</v>
      </c>
      <c r="D119" t="s">
        <v>32</v>
      </c>
      <c r="E119" t="s">
        <v>20</v>
      </c>
      <c r="F119" t="s">
        <v>33</v>
      </c>
      <c r="G119">
        <v>4</v>
      </c>
      <c r="H119">
        <v>55000</v>
      </c>
      <c r="I119">
        <v>0.05</v>
      </c>
      <c r="J119">
        <v>52250</v>
      </c>
      <c r="K119">
        <v>209000</v>
      </c>
      <c r="L119">
        <v>141232.09</v>
      </c>
      <c r="M119">
        <v>67767.91</v>
      </c>
      <c r="N119" t="s">
        <v>58</v>
      </c>
      <c r="O119" t="s">
        <v>205</v>
      </c>
      <c r="P119">
        <v>5</v>
      </c>
      <c r="Q119" s="1">
        <v>0.32424837320574162</v>
      </c>
    </row>
    <row r="120" spans="1:17" x14ac:dyDescent="0.3">
      <c r="A120" t="s">
        <v>222</v>
      </c>
      <c r="B120" s="2">
        <v>46157.647222222222</v>
      </c>
      <c r="C120" t="s">
        <v>47</v>
      </c>
      <c r="D120" t="s">
        <v>26</v>
      </c>
      <c r="E120" t="s">
        <v>27</v>
      </c>
      <c r="F120" t="s">
        <v>33</v>
      </c>
      <c r="G120">
        <v>5</v>
      </c>
      <c r="H120">
        <v>1200</v>
      </c>
      <c r="I120">
        <v>0</v>
      </c>
      <c r="J120">
        <v>1200</v>
      </c>
      <c r="K120">
        <v>6000</v>
      </c>
      <c r="L120">
        <v>3848.66</v>
      </c>
      <c r="M120">
        <v>2151.34</v>
      </c>
      <c r="N120" t="s">
        <v>61</v>
      </c>
      <c r="O120" t="s">
        <v>205</v>
      </c>
      <c r="P120">
        <v>5</v>
      </c>
      <c r="Q120" s="1">
        <v>0.35855666666666669</v>
      </c>
    </row>
    <row r="121" spans="1:17" x14ac:dyDescent="0.3">
      <c r="A121" t="s">
        <v>223</v>
      </c>
      <c r="B121" s="2">
        <v>46159.633333333331</v>
      </c>
      <c r="C121" t="s">
        <v>193</v>
      </c>
      <c r="D121" t="s">
        <v>32</v>
      </c>
      <c r="E121" t="s">
        <v>20</v>
      </c>
      <c r="F121" t="s">
        <v>38</v>
      </c>
      <c r="G121">
        <v>5</v>
      </c>
      <c r="H121">
        <v>55000</v>
      </c>
      <c r="I121">
        <v>0.15</v>
      </c>
      <c r="J121">
        <v>46750</v>
      </c>
      <c r="K121">
        <v>233750</v>
      </c>
      <c r="L121">
        <v>178117.72</v>
      </c>
      <c r="M121">
        <v>55632.28</v>
      </c>
      <c r="N121" t="s">
        <v>29</v>
      </c>
      <c r="O121" t="s">
        <v>205</v>
      </c>
      <c r="P121">
        <v>5</v>
      </c>
      <c r="Q121" s="1">
        <v>0.2379990588235294</v>
      </c>
    </row>
    <row r="122" spans="1:17" x14ac:dyDescent="0.3">
      <c r="A122" t="s">
        <v>224</v>
      </c>
      <c r="B122" s="2">
        <v>46160.505555555559</v>
      </c>
      <c r="C122" t="s">
        <v>225</v>
      </c>
      <c r="D122" t="s">
        <v>42</v>
      </c>
      <c r="E122" t="s">
        <v>27</v>
      </c>
      <c r="F122" t="s">
        <v>28</v>
      </c>
      <c r="G122">
        <v>5</v>
      </c>
      <c r="H122">
        <v>1800</v>
      </c>
      <c r="I122">
        <v>0</v>
      </c>
      <c r="J122">
        <v>1800</v>
      </c>
      <c r="K122">
        <v>9000</v>
      </c>
      <c r="L122">
        <v>6487.26</v>
      </c>
      <c r="M122">
        <v>2512.7399999999998</v>
      </c>
      <c r="N122" t="s">
        <v>22</v>
      </c>
      <c r="O122" t="s">
        <v>205</v>
      </c>
      <c r="P122">
        <v>5</v>
      </c>
      <c r="Q122" s="1">
        <v>0.27919333333333329</v>
      </c>
    </row>
    <row r="123" spans="1:17" x14ac:dyDescent="0.3">
      <c r="A123" t="s">
        <v>226</v>
      </c>
      <c r="B123" s="2">
        <v>46161.824999999997</v>
      </c>
      <c r="C123" t="s">
        <v>80</v>
      </c>
      <c r="D123" t="s">
        <v>101</v>
      </c>
      <c r="E123" t="s">
        <v>20</v>
      </c>
      <c r="F123" t="s">
        <v>28</v>
      </c>
      <c r="G123">
        <v>1</v>
      </c>
      <c r="H123">
        <v>28000</v>
      </c>
      <c r="I123">
        <v>0</v>
      </c>
      <c r="J123">
        <v>28000</v>
      </c>
      <c r="K123">
        <v>28000</v>
      </c>
      <c r="L123">
        <v>19954.34</v>
      </c>
      <c r="M123">
        <v>8045.66</v>
      </c>
      <c r="N123" t="s">
        <v>51</v>
      </c>
      <c r="O123" t="s">
        <v>205</v>
      </c>
      <c r="P123">
        <v>5</v>
      </c>
      <c r="Q123" s="1">
        <v>0.28734500000000002</v>
      </c>
    </row>
    <row r="124" spans="1:17" x14ac:dyDescent="0.3">
      <c r="A124" t="s">
        <v>227</v>
      </c>
      <c r="B124" s="2">
        <v>46164.446527777778</v>
      </c>
      <c r="C124" t="s">
        <v>160</v>
      </c>
      <c r="D124" t="s">
        <v>42</v>
      </c>
      <c r="E124" t="s">
        <v>27</v>
      </c>
      <c r="F124" t="s">
        <v>38</v>
      </c>
      <c r="G124">
        <v>4</v>
      </c>
      <c r="H124">
        <v>1800</v>
      </c>
      <c r="I124">
        <v>0.05</v>
      </c>
      <c r="J124">
        <v>1710</v>
      </c>
      <c r="K124">
        <v>6840</v>
      </c>
      <c r="L124">
        <v>5185.6499999999996</v>
      </c>
      <c r="M124">
        <v>1654.35</v>
      </c>
      <c r="N124" t="s">
        <v>51</v>
      </c>
      <c r="O124" t="s">
        <v>205</v>
      </c>
      <c r="P124">
        <v>5</v>
      </c>
      <c r="Q124" s="1">
        <v>0.24186403508771928</v>
      </c>
    </row>
    <row r="125" spans="1:17" x14ac:dyDescent="0.3">
      <c r="A125" t="s">
        <v>228</v>
      </c>
      <c r="B125" s="2">
        <v>46164.560416666667</v>
      </c>
      <c r="C125" t="s">
        <v>57</v>
      </c>
      <c r="D125" t="s">
        <v>32</v>
      </c>
      <c r="E125" t="s">
        <v>20</v>
      </c>
      <c r="F125" t="s">
        <v>28</v>
      </c>
      <c r="G125">
        <v>2</v>
      </c>
      <c r="H125">
        <v>55000</v>
      </c>
      <c r="I125">
        <v>0.05</v>
      </c>
      <c r="J125">
        <v>52250</v>
      </c>
      <c r="K125">
        <v>104500</v>
      </c>
      <c r="L125">
        <v>84773.39</v>
      </c>
      <c r="M125">
        <v>19726.61</v>
      </c>
      <c r="N125" t="s">
        <v>58</v>
      </c>
      <c r="O125" t="s">
        <v>205</v>
      </c>
      <c r="P125">
        <v>5</v>
      </c>
      <c r="Q125" s="1">
        <v>0.18877138755980863</v>
      </c>
    </row>
    <row r="126" spans="1:17" x14ac:dyDescent="0.3">
      <c r="A126" t="s">
        <v>229</v>
      </c>
      <c r="B126" s="2">
        <v>46165.768750000003</v>
      </c>
      <c r="C126" t="s">
        <v>88</v>
      </c>
      <c r="D126" t="s">
        <v>36</v>
      </c>
      <c r="E126" t="s">
        <v>37</v>
      </c>
      <c r="F126" t="s">
        <v>33</v>
      </c>
      <c r="G126">
        <v>1</v>
      </c>
      <c r="H126">
        <v>12000</v>
      </c>
      <c r="I126">
        <v>0.15</v>
      </c>
      <c r="J126">
        <v>10200</v>
      </c>
      <c r="K126">
        <v>10200</v>
      </c>
      <c r="L126">
        <v>8282.43</v>
      </c>
      <c r="M126">
        <v>1917.57</v>
      </c>
      <c r="N126" t="s">
        <v>39</v>
      </c>
      <c r="O126" t="s">
        <v>205</v>
      </c>
      <c r="P126">
        <v>5</v>
      </c>
      <c r="Q126" s="1">
        <v>0.18799705882352941</v>
      </c>
    </row>
    <row r="127" spans="1:17" x14ac:dyDescent="0.3">
      <c r="A127" t="s">
        <v>230</v>
      </c>
      <c r="B127" s="2">
        <v>46167.370833333334</v>
      </c>
      <c r="C127" t="s">
        <v>31</v>
      </c>
      <c r="D127" t="s">
        <v>19</v>
      </c>
      <c r="E127" t="s">
        <v>20</v>
      </c>
      <c r="F127" t="s">
        <v>38</v>
      </c>
      <c r="G127">
        <v>1</v>
      </c>
      <c r="H127">
        <v>15000</v>
      </c>
      <c r="I127">
        <v>0</v>
      </c>
      <c r="J127">
        <v>15000</v>
      </c>
      <c r="K127">
        <v>15000</v>
      </c>
      <c r="L127">
        <v>11807.29</v>
      </c>
      <c r="M127">
        <v>3192.71</v>
      </c>
      <c r="N127" t="s">
        <v>51</v>
      </c>
      <c r="O127" t="s">
        <v>205</v>
      </c>
      <c r="P127">
        <v>5</v>
      </c>
      <c r="Q127" s="1">
        <v>0.21284733333333333</v>
      </c>
    </row>
    <row r="128" spans="1:17" x14ac:dyDescent="0.3">
      <c r="A128" t="s">
        <v>231</v>
      </c>
      <c r="B128" s="2">
        <v>46168.625</v>
      </c>
      <c r="C128" t="s">
        <v>66</v>
      </c>
      <c r="D128" t="s">
        <v>36</v>
      </c>
      <c r="E128" t="s">
        <v>37</v>
      </c>
      <c r="F128" t="s">
        <v>33</v>
      </c>
      <c r="G128">
        <v>5</v>
      </c>
      <c r="H128">
        <v>12000</v>
      </c>
      <c r="I128">
        <v>0</v>
      </c>
      <c r="J128">
        <v>12000</v>
      </c>
      <c r="K128">
        <v>60000</v>
      </c>
      <c r="L128">
        <v>39763.550000000003</v>
      </c>
      <c r="M128">
        <v>20236.45</v>
      </c>
      <c r="N128" t="s">
        <v>39</v>
      </c>
      <c r="O128" t="s">
        <v>205</v>
      </c>
      <c r="P128">
        <v>5</v>
      </c>
      <c r="Q128" s="1">
        <v>0.33727416666666665</v>
      </c>
    </row>
    <row r="129" spans="1:17" x14ac:dyDescent="0.3">
      <c r="A129" t="s">
        <v>232</v>
      </c>
      <c r="B129" s="2">
        <v>46168.720833333333</v>
      </c>
      <c r="C129" t="s">
        <v>25</v>
      </c>
      <c r="D129" t="s">
        <v>26</v>
      </c>
      <c r="E129" t="s">
        <v>27</v>
      </c>
      <c r="F129" t="s">
        <v>28</v>
      </c>
      <c r="G129">
        <v>5</v>
      </c>
      <c r="H129">
        <v>1200</v>
      </c>
      <c r="I129">
        <v>0.05</v>
      </c>
      <c r="J129">
        <v>1140</v>
      </c>
      <c r="K129">
        <v>5700</v>
      </c>
      <c r="L129">
        <v>3590.2</v>
      </c>
      <c r="M129">
        <v>2109.8000000000002</v>
      </c>
      <c r="N129" t="s">
        <v>61</v>
      </c>
      <c r="O129" t="s">
        <v>205</v>
      </c>
      <c r="P129">
        <v>5</v>
      </c>
      <c r="Q129" s="1">
        <v>0.37014035087719299</v>
      </c>
    </row>
    <row r="130" spans="1:17" x14ac:dyDescent="0.3">
      <c r="A130" t="s">
        <v>233</v>
      </c>
      <c r="B130" s="2">
        <v>46169.784722222219</v>
      </c>
      <c r="C130" t="s">
        <v>234</v>
      </c>
      <c r="D130" t="s">
        <v>50</v>
      </c>
      <c r="E130" t="s">
        <v>20</v>
      </c>
      <c r="F130" t="s">
        <v>33</v>
      </c>
      <c r="G130">
        <v>1</v>
      </c>
      <c r="H130">
        <v>11000</v>
      </c>
      <c r="I130">
        <v>0.1</v>
      </c>
      <c r="J130">
        <v>9900</v>
      </c>
      <c r="K130">
        <v>9900</v>
      </c>
      <c r="L130">
        <v>6463.31</v>
      </c>
      <c r="M130">
        <v>3436.69</v>
      </c>
      <c r="N130" t="s">
        <v>39</v>
      </c>
      <c r="O130" t="s">
        <v>205</v>
      </c>
      <c r="P130">
        <v>5</v>
      </c>
      <c r="Q130" s="1">
        <v>0.34714040404040403</v>
      </c>
    </row>
    <row r="131" spans="1:17" x14ac:dyDescent="0.3">
      <c r="A131" t="s">
        <v>235</v>
      </c>
      <c r="B131" s="2">
        <v>46170.386111111111</v>
      </c>
      <c r="C131" t="s">
        <v>236</v>
      </c>
      <c r="D131" t="s">
        <v>32</v>
      </c>
      <c r="E131" t="s">
        <v>20</v>
      </c>
      <c r="F131" t="s">
        <v>38</v>
      </c>
      <c r="G131">
        <v>5</v>
      </c>
      <c r="H131">
        <v>55000</v>
      </c>
      <c r="I131">
        <v>0.05</v>
      </c>
      <c r="J131">
        <v>52250</v>
      </c>
      <c r="K131">
        <v>261250</v>
      </c>
      <c r="L131">
        <v>177856.3</v>
      </c>
      <c r="M131">
        <v>83393.7</v>
      </c>
      <c r="N131" t="s">
        <v>51</v>
      </c>
      <c r="O131" t="s">
        <v>205</v>
      </c>
      <c r="P131">
        <v>5</v>
      </c>
      <c r="Q131" s="1">
        <v>0.31921033492822964</v>
      </c>
    </row>
    <row r="132" spans="1:17" x14ac:dyDescent="0.3">
      <c r="A132" t="s">
        <v>237</v>
      </c>
      <c r="B132" s="2">
        <v>46170.835416666669</v>
      </c>
      <c r="C132" t="s">
        <v>238</v>
      </c>
      <c r="D132" t="s">
        <v>36</v>
      </c>
      <c r="E132" t="s">
        <v>37</v>
      </c>
      <c r="F132" t="s">
        <v>33</v>
      </c>
      <c r="G132">
        <v>1</v>
      </c>
      <c r="H132">
        <v>12000</v>
      </c>
      <c r="I132">
        <v>0</v>
      </c>
      <c r="J132">
        <v>12000</v>
      </c>
      <c r="K132">
        <v>12000</v>
      </c>
      <c r="L132">
        <v>8644.42</v>
      </c>
      <c r="M132">
        <v>3355.58</v>
      </c>
      <c r="N132" t="s">
        <v>29</v>
      </c>
      <c r="O132" t="s">
        <v>205</v>
      </c>
      <c r="P132">
        <v>5</v>
      </c>
      <c r="Q132" s="1">
        <v>0.27963166666666667</v>
      </c>
    </row>
    <row r="133" spans="1:17" x14ac:dyDescent="0.3">
      <c r="A133" t="s">
        <v>239</v>
      </c>
      <c r="B133" s="2">
        <v>46171.79583333333</v>
      </c>
      <c r="C133" t="s">
        <v>72</v>
      </c>
      <c r="D133" t="s">
        <v>42</v>
      </c>
      <c r="E133" t="s">
        <v>27</v>
      </c>
      <c r="F133" t="s">
        <v>38</v>
      </c>
      <c r="G133">
        <v>4</v>
      </c>
      <c r="H133">
        <v>1800</v>
      </c>
      <c r="I133">
        <v>0</v>
      </c>
      <c r="J133">
        <v>1800</v>
      </c>
      <c r="K133">
        <v>7200</v>
      </c>
      <c r="L133">
        <v>5534.62</v>
      </c>
      <c r="M133">
        <v>1665.38</v>
      </c>
      <c r="N133" t="s">
        <v>22</v>
      </c>
      <c r="O133" t="s">
        <v>205</v>
      </c>
      <c r="P133">
        <v>5</v>
      </c>
      <c r="Q133" s="1">
        <v>0.2313027777777778</v>
      </c>
    </row>
    <row r="134" spans="1:17" x14ac:dyDescent="0.3">
      <c r="A134" t="s">
        <v>240</v>
      </c>
      <c r="B134" s="2">
        <v>46171.561111111114</v>
      </c>
      <c r="C134" t="s">
        <v>95</v>
      </c>
      <c r="D134" t="s">
        <v>42</v>
      </c>
      <c r="E134" t="s">
        <v>27</v>
      </c>
      <c r="F134" t="s">
        <v>38</v>
      </c>
      <c r="G134">
        <v>5</v>
      </c>
      <c r="H134">
        <v>1800</v>
      </c>
      <c r="I134">
        <v>0</v>
      </c>
      <c r="J134">
        <v>1800</v>
      </c>
      <c r="K134">
        <v>9000</v>
      </c>
      <c r="L134">
        <v>6798.49</v>
      </c>
      <c r="M134">
        <v>2201.5100000000002</v>
      </c>
      <c r="N134" t="s">
        <v>51</v>
      </c>
      <c r="O134" t="s">
        <v>205</v>
      </c>
      <c r="P134">
        <v>5</v>
      </c>
      <c r="Q134" s="1">
        <v>0.24461222222222226</v>
      </c>
    </row>
    <row r="135" spans="1:17" x14ac:dyDescent="0.3">
      <c r="A135" t="s">
        <v>241</v>
      </c>
      <c r="B135" s="2">
        <v>46171.526388888888</v>
      </c>
      <c r="C135" t="s">
        <v>115</v>
      </c>
      <c r="D135" t="s">
        <v>92</v>
      </c>
      <c r="E135" t="s">
        <v>37</v>
      </c>
      <c r="F135" t="s">
        <v>28</v>
      </c>
      <c r="G135">
        <v>2</v>
      </c>
      <c r="H135">
        <v>8500</v>
      </c>
      <c r="I135">
        <v>0</v>
      </c>
      <c r="J135">
        <v>8500</v>
      </c>
      <c r="K135">
        <v>17000</v>
      </c>
      <c r="L135">
        <v>13922.24</v>
      </c>
      <c r="M135">
        <v>3077.76</v>
      </c>
      <c r="N135" t="s">
        <v>39</v>
      </c>
      <c r="O135" t="s">
        <v>205</v>
      </c>
      <c r="P135">
        <v>5</v>
      </c>
      <c r="Q135" s="1">
        <v>0.18104470588235294</v>
      </c>
    </row>
    <row r="136" spans="1:17" x14ac:dyDescent="0.3">
      <c r="A136" t="s">
        <v>242</v>
      </c>
      <c r="B136" s="2">
        <v>46171.647222222222</v>
      </c>
      <c r="C136" t="s">
        <v>117</v>
      </c>
      <c r="D136" t="s">
        <v>42</v>
      </c>
      <c r="E136" t="s">
        <v>27</v>
      </c>
      <c r="F136" t="s">
        <v>28</v>
      </c>
      <c r="G136">
        <v>2</v>
      </c>
      <c r="H136">
        <v>1800</v>
      </c>
      <c r="I136">
        <v>0.1</v>
      </c>
      <c r="J136">
        <v>1620</v>
      </c>
      <c r="K136">
        <v>3240</v>
      </c>
      <c r="L136">
        <v>2439.9699999999998</v>
      </c>
      <c r="M136">
        <v>800.03</v>
      </c>
      <c r="N136" t="s">
        <v>58</v>
      </c>
      <c r="O136" t="s">
        <v>205</v>
      </c>
      <c r="P136">
        <v>5</v>
      </c>
      <c r="Q136" s="1">
        <v>0.24692283950617283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0C2D-7B02-400F-B78F-F882EB354639}">
  <dimension ref="A3:E16"/>
  <sheetViews>
    <sheetView tabSelected="1" workbookViewId="0">
      <selection activeCell="E4" sqref="E4"/>
    </sheetView>
  </sheetViews>
  <sheetFormatPr defaultRowHeight="14.4" x14ac:dyDescent="0.3"/>
  <cols>
    <col min="1" max="1" width="22.88671875" customWidth="1"/>
    <col min="2" max="2" width="17.6640625" customWidth="1"/>
    <col min="3" max="3" width="17.88671875" customWidth="1"/>
    <col min="4" max="4" width="17.6640625" customWidth="1"/>
    <col min="5" max="5" width="19.5546875" customWidth="1"/>
    <col min="6" max="6" width="19" customWidth="1"/>
  </cols>
  <sheetData>
    <row r="3" spans="1:5" x14ac:dyDescent="0.3">
      <c r="A3" s="6" t="s">
        <v>243</v>
      </c>
      <c r="B3" s="6" t="s">
        <v>244</v>
      </c>
    </row>
    <row r="4" spans="1:5" x14ac:dyDescent="0.3">
      <c r="A4" s="7" t="s">
        <v>245</v>
      </c>
      <c r="B4" s="8">
        <f>SUM('[1]task-16'!$K4:$K136)</f>
        <v>4877250</v>
      </c>
    </row>
    <row r="5" spans="1:5" x14ac:dyDescent="0.3">
      <c r="A5" s="7" t="s">
        <v>246</v>
      </c>
      <c r="B5" s="8">
        <f>SUM('[1]task-16'!$L4:$L136)</f>
        <v>3459709.6800000016</v>
      </c>
    </row>
    <row r="6" spans="1:5" x14ac:dyDescent="0.3">
      <c r="A6" s="7" t="s">
        <v>247</v>
      </c>
      <c r="B6" s="8">
        <f>SUMPRODUCT('[1]task-16'!$H4:$H136,'[1]task-16'!$I4:$I136,'[1]task-16'!$G4:$G136)</f>
        <v>294050</v>
      </c>
    </row>
    <row r="7" spans="1:5" x14ac:dyDescent="0.3">
      <c r="A7" s="7" t="s">
        <v>248</v>
      </c>
      <c r="B7" s="8">
        <f>SUM('[1]task-16'!$M4:$M136)</f>
        <v>1417540.32</v>
      </c>
    </row>
    <row r="8" spans="1:5" x14ac:dyDescent="0.3">
      <c r="A8" s="7" t="s">
        <v>16</v>
      </c>
      <c r="B8" s="9">
        <f>IF(B4=0,0,B7/B4)</f>
        <v>0.29064335844994621</v>
      </c>
    </row>
    <row r="9" spans="1:5" x14ac:dyDescent="0.3">
      <c r="A9" s="7" t="s">
        <v>250</v>
      </c>
      <c r="B9" s="10">
        <f>IF(B4=0,0,B6/B4)</f>
        <v>6.0290122507560613E-2</v>
      </c>
    </row>
    <row r="13" spans="1:5" x14ac:dyDescent="0.3">
      <c r="A13" s="6" t="s">
        <v>4</v>
      </c>
      <c r="B13" s="6" t="s">
        <v>249</v>
      </c>
      <c r="C13" s="6" t="s">
        <v>11</v>
      </c>
      <c r="D13" s="11" t="s">
        <v>12</v>
      </c>
      <c r="E13" s="6" t="s">
        <v>16</v>
      </c>
    </row>
    <row r="14" spans="1:5" x14ac:dyDescent="0.3">
      <c r="A14" s="7" t="s">
        <v>20</v>
      </c>
      <c r="B14" s="8">
        <f>SUMIF('task-16'!$E4:$E136,A14,'task-16'!$K4:$K136)</f>
        <v>4042950</v>
      </c>
      <c r="C14" s="8">
        <f>SUMIF('task-16'!$E4:$E136,A14,'task-16'!$L4:$L136)</f>
        <v>2863859.8800000004</v>
      </c>
      <c r="D14" s="8">
        <f>SUMIF('task-16'!$E4:$E136,A14,'task-16'!$M4:$M136)</f>
        <v>1179090.1199999999</v>
      </c>
      <c r="E14" s="9">
        <f t="shared" ref="E14:E16" si="0">IF(B14=0,0,D14/B14)</f>
        <v>0.29164103439320294</v>
      </c>
    </row>
    <row r="15" spans="1:5" x14ac:dyDescent="0.3">
      <c r="A15" s="7" t="s">
        <v>27</v>
      </c>
      <c r="B15" s="8">
        <f>SUMIF('task-16'!$E4:$E136,A15,'task-16'!$K4:$K136)</f>
        <v>257150</v>
      </c>
      <c r="C15" s="8">
        <f>SUMIF('task-16'!$E4:$E136,A15,'task-16'!$L4:$L136)</f>
        <v>184304.14000000004</v>
      </c>
      <c r="D15" s="8">
        <f>SUMIF('task-16'!$E4:$E136,A15,'task-16'!$M4:$M136)</f>
        <v>72845.860000000015</v>
      </c>
      <c r="E15" s="9">
        <f t="shared" si="0"/>
        <v>0.28328158662259389</v>
      </c>
    </row>
    <row r="16" spans="1:5" x14ac:dyDescent="0.3">
      <c r="A16" s="7" t="s">
        <v>37</v>
      </c>
      <c r="B16" s="8">
        <f>SUMIF('task-16'!$E4:$E136,A16,'task-16'!$K4:$K136)</f>
        <v>636250</v>
      </c>
      <c r="C16" s="8">
        <f>SUMIF('task-16'!$E4:$E136,A16,'task-16'!$L4:$L136)</f>
        <v>452826.65</v>
      </c>
      <c r="D16" s="8">
        <f>SUMIF('task-16'!$E4:$E136,A16,'task-16'!$M4:$M136)</f>
        <v>183423.35</v>
      </c>
      <c r="E16" s="9">
        <f t="shared" si="0"/>
        <v>0.28828817288801573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89D4-FCA4-48A9-B36B-F00258B628E6}">
  <dimension ref="A3:E7"/>
  <sheetViews>
    <sheetView workbookViewId="0">
      <selection activeCell="B4" sqref="B4:D7"/>
    </sheetView>
  </sheetViews>
  <sheetFormatPr defaultRowHeight="14.4" x14ac:dyDescent="0.3"/>
  <cols>
    <col min="1" max="1" width="10.44140625" customWidth="1"/>
    <col min="2" max="2" width="19.109375" customWidth="1"/>
    <col min="3" max="3" width="19.5546875" customWidth="1"/>
    <col min="4" max="4" width="16.88671875" customWidth="1"/>
    <col min="5" max="5" width="19.88671875" customWidth="1"/>
  </cols>
  <sheetData>
    <row r="3" spans="1:5" x14ac:dyDescent="0.3">
      <c r="A3" s="6" t="s">
        <v>5</v>
      </c>
      <c r="B3" s="6" t="s">
        <v>249</v>
      </c>
      <c r="C3" s="6" t="s">
        <v>11</v>
      </c>
      <c r="D3" s="6" t="s">
        <v>12</v>
      </c>
      <c r="E3" s="6" t="s">
        <v>16</v>
      </c>
    </row>
    <row r="4" spans="1:5" x14ac:dyDescent="0.3">
      <c r="A4" s="7" t="s">
        <v>21</v>
      </c>
      <c r="B4" s="8">
        <f>SUMIF('task-16'!$F4:$F136,A4,'task-16'!$K4:$K136)</f>
        <v>1353405</v>
      </c>
      <c r="C4" s="8">
        <f>SUMIF('task-16'!$F4:$F136,A4,'task-16'!$L4:$L136)</f>
        <v>974433.57000000007</v>
      </c>
      <c r="D4" s="8">
        <f>SUMIF('task-16'!$F4:$F136,A4,'task-16'!$M4:$M136)</f>
        <v>378971.42999999993</v>
      </c>
      <c r="E4" s="9">
        <f t="shared" ref="E4:E7" si="0">IF(B4=0,0,D4/B4)</f>
        <v>0.28001332195462553</v>
      </c>
    </row>
    <row r="5" spans="1:5" x14ac:dyDescent="0.3">
      <c r="A5" s="7" t="s">
        <v>28</v>
      </c>
      <c r="B5" s="8">
        <f>SUMIF('task-16'!$F4:$F136,A5,'task-16'!$K4:$K136)</f>
        <v>728850</v>
      </c>
      <c r="C5" s="8">
        <f>SUMIF('task-16'!$F4:$F136,A5,'task-16'!$L4:$L136)</f>
        <v>535211.69000000006</v>
      </c>
      <c r="D5" s="8">
        <f>SUMIF('task-16'!$F4:$F136,A5,'task-16'!$M4:$M136)</f>
        <v>193638.30999999997</v>
      </c>
      <c r="E5" s="9">
        <f t="shared" si="0"/>
        <v>0.26567649036152841</v>
      </c>
    </row>
    <row r="6" spans="1:5" x14ac:dyDescent="0.3">
      <c r="A6" s="7" t="s">
        <v>38</v>
      </c>
      <c r="B6" s="8">
        <f>SUMIF('task-16'!$F4:$F136,A6,'task-16'!$K4:$K136)</f>
        <v>1459310</v>
      </c>
      <c r="C6" s="8">
        <f>SUMIF('task-16'!$F4:$F136,A6,'task-16'!$L4:$L136)</f>
        <v>1033812.2199999999</v>
      </c>
      <c r="D6" s="8">
        <f>SUMIF('task-16'!$F4:$F136,A6,'task-16'!$M4:$M136)</f>
        <v>425497.78</v>
      </c>
      <c r="E6" s="9">
        <f t="shared" si="0"/>
        <v>0.2915746345875791</v>
      </c>
    </row>
    <row r="7" spans="1:5" x14ac:dyDescent="0.3">
      <c r="A7" s="7" t="s">
        <v>33</v>
      </c>
      <c r="B7" s="8">
        <f>SUMIF('task-16'!$F4:$F136,A7,'task-16'!$K4:$K136)</f>
        <v>1394785</v>
      </c>
      <c r="C7" s="8">
        <f>SUMIF('task-16'!$F4:$F136,A7,'task-16'!$L4:$L136)</f>
        <v>957533.19000000018</v>
      </c>
      <c r="D7" s="8">
        <f>SUMIF('task-16'!$F4:$F136,A7,'task-16'!$M4:$M136)</f>
        <v>437251.81000000011</v>
      </c>
      <c r="E7" s="9">
        <f t="shared" si="0"/>
        <v>0.31349047344214348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B918-9BCC-46E5-8326-95CC63F81915}">
  <dimension ref="A3:E13"/>
  <sheetViews>
    <sheetView workbookViewId="0">
      <selection activeCell="A3" sqref="A3:E13"/>
    </sheetView>
  </sheetViews>
  <sheetFormatPr defaultRowHeight="14.4" x14ac:dyDescent="0.3"/>
  <cols>
    <col min="1" max="1" width="17.77734375" customWidth="1"/>
    <col min="2" max="2" width="14" customWidth="1"/>
    <col min="3" max="3" width="15.6640625" customWidth="1"/>
    <col min="4" max="4" width="16.88671875" customWidth="1"/>
    <col min="5" max="5" width="17.5546875" customWidth="1"/>
  </cols>
  <sheetData>
    <row r="3" spans="1:5" x14ac:dyDescent="0.3">
      <c r="A3" s="6" t="s">
        <v>3</v>
      </c>
      <c r="B3" s="6" t="s">
        <v>249</v>
      </c>
      <c r="C3" s="6" t="s">
        <v>11</v>
      </c>
      <c r="D3" s="6" t="s">
        <v>12</v>
      </c>
      <c r="E3" s="6" t="s">
        <v>16</v>
      </c>
    </row>
    <row r="4" spans="1:5" x14ac:dyDescent="0.3">
      <c r="A4" s="7" t="s">
        <v>32</v>
      </c>
      <c r="B4" s="8">
        <f>SUMIF('task-16'!$D4:$D136,A4,'task-16'!$K4:$K136)</f>
        <v>2315500</v>
      </c>
      <c r="C4" s="8">
        <f>SUMIF('task-16'!$D4:$D136,A4,'task-16'!$L4:$L136)</f>
        <v>1624741.06</v>
      </c>
      <c r="D4" s="8">
        <f>SUMIF('task-16'!$D4:$D136,A4,'task-16'!$M4:$M136)</f>
        <v>690758.94</v>
      </c>
      <c r="E4" s="9">
        <f>IF(B4=0,0,D4/B4)</f>
        <v>0.2983195594903908</v>
      </c>
    </row>
    <row r="5" spans="1:5" x14ac:dyDescent="0.3">
      <c r="A5" s="7" t="s">
        <v>101</v>
      </c>
      <c r="B5" s="8">
        <f>SUMIF('task-16'!$D4:$D136,A5,'task-16'!$K4:$K136)</f>
        <v>603400</v>
      </c>
      <c r="C5" s="8">
        <f>SUMIF('task-16'!$D4:$D136,A5,'task-16'!$L4:$L136)</f>
        <v>419617.08000000007</v>
      </c>
      <c r="D5" s="8">
        <f>SUMIF('task-16'!$D4:$D136,A5,'task-16'!$M4:$M136)</f>
        <v>183782.92</v>
      </c>
      <c r="E5" s="9">
        <f>IF(B5=0,0,D5/B5)</f>
        <v>0.30457891945641369</v>
      </c>
    </row>
    <row r="6" spans="1:5" x14ac:dyDescent="0.3">
      <c r="A6" s="7" t="s">
        <v>19</v>
      </c>
      <c r="B6" s="8">
        <f>SUMIF('task-16'!$D4:$D136,A6,'task-16'!$K4:$K136)</f>
        <v>625500</v>
      </c>
      <c r="C6" s="8">
        <f>SUMIF('task-16'!$D4:$D136,A6,'task-16'!$L4:$L136)</f>
        <v>457926.83999999997</v>
      </c>
      <c r="D6" s="8">
        <f>SUMIF('task-16'!$D4:$D136,A6,'task-16'!$M4:$M136)</f>
        <v>167573.16</v>
      </c>
      <c r="E6" s="9">
        <f>IF(B6=0,0,D6/B6)</f>
        <v>0.26790273381294966</v>
      </c>
    </row>
    <row r="7" spans="1:5" x14ac:dyDescent="0.3">
      <c r="A7" s="7" t="s">
        <v>36</v>
      </c>
      <c r="B7" s="8">
        <f>SUMIF('task-16'!$D4:$D136,A7,'task-16'!$K4:$K136)</f>
        <v>441600</v>
      </c>
      <c r="C7" s="8">
        <f>SUMIF('task-16'!$D4:$D136,A7,'task-16'!$L4:$L136)</f>
        <v>308562.64</v>
      </c>
      <c r="D7" s="8">
        <f>SUMIF('task-16'!$D4:$D136,A7,'task-16'!$M4:$M136)</f>
        <v>133037.36000000002</v>
      </c>
      <c r="E7" s="9">
        <f>IF(B7=0,0,D7/B7)</f>
        <v>0.30126213768115945</v>
      </c>
    </row>
    <row r="8" spans="1:5" x14ac:dyDescent="0.3">
      <c r="A8" s="7" t="s">
        <v>50</v>
      </c>
      <c r="B8" s="8">
        <f>SUMIF('task-16'!$D4:$D136,A8,'task-16'!$K4:$K136)</f>
        <v>392150</v>
      </c>
      <c r="C8" s="8">
        <f>SUMIF('task-16'!$D4:$D136,A8,'task-16'!$L4:$L136)</f>
        <v>281398.53999999998</v>
      </c>
      <c r="D8" s="8">
        <f>SUMIF('task-16'!$D4:$D136,A8,'task-16'!$M4:$M136)</f>
        <v>110751.45999999999</v>
      </c>
      <c r="E8" s="9">
        <f>IF(B8=0,0,D8/B8)</f>
        <v>0.28242116537039397</v>
      </c>
    </row>
    <row r="9" spans="1:5" x14ac:dyDescent="0.3">
      <c r="A9" s="7" t="s">
        <v>92</v>
      </c>
      <c r="B9" s="8">
        <f>SUMIF('task-16'!$D4:$D136,A9,'task-16'!$K4:$K136)</f>
        <v>194650</v>
      </c>
      <c r="C9" s="8">
        <f>SUMIF('task-16'!$D4:$D136,A9,'task-16'!$L4:$L136)</f>
        <v>144264.00999999998</v>
      </c>
      <c r="D9" s="8">
        <f>SUMIF('task-16'!$D4:$D136,A9,'task-16'!$M4:$M136)</f>
        <v>50385.990000000005</v>
      </c>
      <c r="E9" s="9">
        <f>IF(B9=0,0,D9/B9)</f>
        <v>0.25885430259440023</v>
      </c>
    </row>
    <row r="10" spans="1:5" x14ac:dyDescent="0.3">
      <c r="A10" s="7" t="s">
        <v>42</v>
      </c>
      <c r="B10" s="8">
        <f>SUMIF('task-16'!$D4:$D136,A10,'task-16'!$K4:$K136)</f>
        <v>122130</v>
      </c>
      <c r="C10" s="8">
        <f>SUMIF('task-16'!$D4:$D136,A10,'task-16'!$L4:$L136)</f>
        <v>88541.119999999995</v>
      </c>
      <c r="D10" s="8">
        <f>SUMIF('task-16'!$D4:$D136,A10,'task-16'!$M4:$M136)</f>
        <v>33588.879999999997</v>
      </c>
      <c r="E10" s="9">
        <f>IF(B10=0,0,D10/B10)</f>
        <v>0.27502562842872347</v>
      </c>
    </row>
    <row r="11" spans="1:5" x14ac:dyDescent="0.3">
      <c r="A11" s="7" t="s">
        <v>70</v>
      </c>
      <c r="B11" s="8">
        <f>SUMIF('task-16'!$D4:$D136,A11,'task-16'!$K4:$K136)</f>
        <v>106400</v>
      </c>
      <c r="C11" s="8">
        <f>SUMIF('task-16'!$D4:$D136,A11,'task-16'!$L4:$L136)</f>
        <v>80176.36</v>
      </c>
      <c r="D11" s="8">
        <f>SUMIF('task-16'!$D4:$D136,A11,'task-16'!$M4:$M136)</f>
        <v>26223.64</v>
      </c>
      <c r="E11" s="9">
        <f>IF(B11=0,0,D11/B11)</f>
        <v>0.24646278195488722</v>
      </c>
    </row>
    <row r="12" spans="1:5" x14ac:dyDescent="0.3">
      <c r="A12" s="7" t="s">
        <v>45</v>
      </c>
      <c r="B12" s="8">
        <f>SUMIF('task-16'!$D4:$D136,A12,'task-16'!$K4:$K136)</f>
        <v>82280</v>
      </c>
      <c r="C12" s="8">
        <f>SUMIF('task-16'!$D4:$D136,A12,'task-16'!$L4:$L136)</f>
        <v>59296.509999999987</v>
      </c>
      <c r="D12" s="8">
        <f>SUMIF('task-16'!$D4:$D136,A12,'task-16'!$M4:$M136)</f>
        <v>22983.489999999998</v>
      </c>
      <c r="E12" s="9">
        <f>IF(B12=0,0,D12/B12)</f>
        <v>0.27933264462809915</v>
      </c>
    </row>
    <row r="13" spans="1:5" x14ac:dyDescent="0.3">
      <c r="A13" s="7" t="s">
        <v>26</v>
      </c>
      <c r="B13" s="8">
        <f>SUMIF('task-16'!$D4:$D136,A13,'task-16'!$K4:$K136)</f>
        <v>52740</v>
      </c>
      <c r="C13" s="8">
        <f>SUMIF('task-16'!$D4:$D136,A13,'task-16'!$L4:$L136)</f>
        <v>36466.51</v>
      </c>
      <c r="D13" s="8">
        <f>SUMIF('task-16'!$D4:$D136,A13,'task-16'!$M4:$M136)</f>
        <v>16273.489999999998</v>
      </c>
      <c r="E13" s="9">
        <f>IF(B13=0,0,D13/B13)</f>
        <v>0.30856067500948042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9E74-98A4-42C5-A77C-4FE6C73363DC}">
  <dimension ref="B4:C9"/>
  <sheetViews>
    <sheetView workbookViewId="0">
      <selection activeCell="G8" sqref="G8"/>
    </sheetView>
  </sheetViews>
  <sheetFormatPr defaultRowHeight="14.4" x14ac:dyDescent="0.3"/>
  <cols>
    <col min="2" max="2" width="26.109375" customWidth="1"/>
    <col min="3" max="3" width="18.44140625" customWidth="1"/>
  </cols>
  <sheetData>
    <row r="4" spans="2:3" x14ac:dyDescent="0.3">
      <c r="B4" s="12" t="s">
        <v>243</v>
      </c>
      <c r="C4" s="12" t="s">
        <v>251</v>
      </c>
    </row>
    <row r="5" spans="2:3" x14ac:dyDescent="0.3">
      <c r="B5" s="7" t="s">
        <v>252</v>
      </c>
      <c r="C5" s="7" t="s">
        <v>255</v>
      </c>
    </row>
    <row r="6" spans="2:3" x14ac:dyDescent="0.3">
      <c r="B6" s="7" t="s">
        <v>253</v>
      </c>
      <c r="C6" s="7" t="s">
        <v>255</v>
      </c>
    </row>
    <row r="7" spans="2:3" x14ac:dyDescent="0.3">
      <c r="B7" s="7" t="s">
        <v>254</v>
      </c>
      <c r="C7" s="7" t="s">
        <v>255</v>
      </c>
    </row>
    <row r="9" spans="2:3" ht="43.2" x14ac:dyDescent="0.3">
      <c r="B9" s="5" t="s">
        <v>256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A7FDE7-CDFA-453A-A29F-57EC91126B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task-16</vt:lpstr>
      <vt:lpstr>Profitability Analysis</vt:lpstr>
      <vt:lpstr>Regional Profitability Analysis</vt:lpstr>
      <vt:lpstr>Product-level Profitability Ana</vt:lpstr>
      <vt:lpstr>Shipping &amp; Returns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2026-10-08T10:51:28Z</dcterms:modified>
</cp:coreProperties>
</file>