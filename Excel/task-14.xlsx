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0E39ED4A-ED29-45EA-B96B-1AAC741911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5" i="1" l="1"/>
  <c r="Q6" i="1"/>
  <c r="I21" i="1"/>
  <c r="I14" i="1"/>
  <c r="I15" i="1"/>
  <c r="I13" i="1"/>
  <c r="I23" i="1"/>
  <c r="I4" i="1"/>
  <c r="I16" i="1"/>
  <c r="I11" i="1"/>
  <c r="I12" i="1"/>
  <c r="I6" i="1"/>
  <c r="I17" i="1"/>
  <c r="I18" i="1"/>
  <c r="I22" i="1"/>
  <c r="I5" i="1"/>
  <c r="I9" i="1"/>
  <c r="I20" i="1"/>
  <c r="I10" i="1"/>
  <c r="I8" i="1"/>
  <c r="I7" i="1"/>
  <c r="I19" i="1"/>
  <c r="H21" i="1"/>
  <c r="H14" i="1"/>
  <c r="H15" i="1"/>
  <c r="H13" i="1"/>
  <c r="H23" i="1"/>
  <c r="H4" i="1"/>
  <c r="H16" i="1"/>
  <c r="H11" i="1"/>
  <c r="H12" i="1"/>
  <c r="H6" i="1"/>
  <c r="H17" i="1"/>
  <c r="H18" i="1"/>
  <c r="H22" i="1"/>
  <c r="H5" i="1"/>
  <c r="H9" i="1"/>
  <c r="H20" i="1"/>
  <c r="H10" i="1"/>
  <c r="H8" i="1"/>
  <c r="H7" i="1"/>
  <c r="H19" i="1"/>
  <c r="F21" i="1"/>
  <c r="G21" i="1" s="1"/>
  <c r="J21" i="1" s="1"/>
  <c r="F14" i="1"/>
  <c r="G14" i="1" s="1"/>
  <c r="J14" i="1" s="1"/>
  <c r="F15" i="1"/>
  <c r="G15" i="1" s="1"/>
  <c r="J15" i="1" s="1"/>
  <c r="F13" i="1"/>
  <c r="G13" i="1" s="1"/>
  <c r="J13" i="1" s="1"/>
  <c r="F23" i="1"/>
  <c r="G23" i="1" s="1"/>
  <c r="J23" i="1" s="1"/>
  <c r="F4" i="1"/>
  <c r="G4" i="1" s="1"/>
  <c r="J4" i="1" s="1"/>
  <c r="F16" i="1"/>
  <c r="G16" i="1" s="1"/>
  <c r="J16" i="1" s="1"/>
  <c r="F11" i="1"/>
  <c r="G11" i="1" s="1"/>
  <c r="J11" i="1" s="1"/>
  <c r="F12" i="1"/>
  <c r="G12" i="1" s="1"/>
  <c r="J12" i="1" s="1"/>
  <c r="F6" i="1"/>
  <c r="G6" i="1" s="1"/>
  <c r="J6" i="1" s="1"/>
  <c r="F17" i="1"/>
  <c r="G17" i="1" s="1"/>
  <c r="J17" i="1" s="1"/>
  <c r="F18" i="1"/>
  <c r="G18" i="1" s="1"/>
  <c r="J18" i="1" s="1"/>
  <c r="F22" i="1"/>
  <c r="G22" i="1" s="1"/>
  <c r="J22" i="1" s="1"/>
  <c r="F5" i="1"/>
  <c r="G5" i="1" s="1"/>
  <c r="J5" i="1" s="1"/>
  <c r="F9" i="1"/>
  <c r="G9" i="1" s="1"/>
  <c r="J9" i="1" s="1"/>
  <c r="F20" i="1"/>
  <c r="G20" i="1" s="1"/>
  <c r="J20" i="1" s="1"/>
  <c r="F10" i="1"/>
  <c r="G10" i="1" s="1"/>
  <c r="J10" i="1" s="1"/>
  <c r="F8" i="1"/>
  <c r="G8" i="1" s="1"/>
  <c r="J8" i="1" s="1"/>
  <c r="F7" i="1"/>
  <c r="G7" i="1" s="1"/>
  <c r="J7" i="1" s="1"/>
  <c r="F19" i="1"/>
  <c r="G19" i="1" s="1"/>
  <c r="J19" i="1" s="1"/>
  <c r="M6" i="1" l="1"/>
  <c r="M5" i="1"/>
  <c r="M7" i="1"/>
</calcChain>
</file>

<file path=xl/sharedStrings.xml><?xml version="1.0" encoding="utf-8"?>
<sst xmlns="http://schemas.openxmlformats.org/spreadsheetml/2006/main" count="60" uniqueCount="41">
  <si>
    <t>Product</t>
  </si>
  <si>
    <t>Category</t>
  </si>
  <si>
    <t>Current Stock</t>
  </si>
  <si>
    <t>Reorder Level</t>
  </si>
  <si>
    <t>Units Sold (30 Days)</t>
  </si>
  <si>
    <t>Laptop</t>
  </si>
  <si>
    <t>Electronics</t>
  </si>
  <si>
    <t>Wireless Mouse</t>
  </si>
  <si>
    <t>Accessories</t>
  </si>
  <si>
    <t>Office Chair</t>
  </si>
  <si>
    <t>Furniture</t>
  </si>
  <si>
    <t>Keyboard</t>
  </si>
  <si>
    <t>Monitor</t>
  </si>
  <si>
    <t>Desk Lamp</t>
  </si>
  <si>
    <t>Headphones</t>
  </si>
  <si>
    <t>USB Cable</t>
  </si>
  <si>
    <t>Printer</t>
  </si>
  <si>
    <t>Notebook</t>
  </si>
  <si>
    <t>Stationery</t>
  </si>
  <si>
    <t>Webcam</t>
  </si>
  <si>
    <t>Mechanical Keyboard</t>
  </si>
  <si>
    <t>Tablet</t>
  </si>
  <si>
    <t>Bookshelf</t>
  </si>
  <si>
    <t>Pen Set</t>
  </si>
  <si>
    <t>Power Bank</t>
  </si>
  <si>
    <t>Laptop Stand</t>
  </si>
  <si>
    <t>Filing Cabinet</t>
  </si>
  <si>
    <t>Sticky Notes</t>
  </si>
  <si>
    <t>Bluetooth Speaker</t>
  </si>
  <si>
    <t>Avg Daily Sales</t>
  </si>
  <si>
    <t>Days of Inventory</t>
  </si>
  <si>
    <t>Reorder Status</t>
  </si>
  <si>
    <t>Movement</t>
  </si>
  <si>
    <t>Stock Status</t>
  </si>
  <si>
    <t>Product Count</t>
  </si>
  <si>
    <t>Fast Mover</t>
  </si>
  <si>
    <t>Normal Mover</t>
  </si>
  <si>
    <t>Slow Mover</t>
  </si>
  <si>
    <t>x</t>
  </si>
  <si>
    <t>Reorder Required</t>
  </si>
  <si>
    <t xml:space="preserve">No Reorder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</si>
</sst>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6E2E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2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/>
        <right/>
        <top/>
        <bottom style="thin">
          <color rgb="FFD6E2EE"/>
        </bottom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  <vertical/>
        <horizontal/>
      </border>
    </dxf>
    <dxf>
      <numFmt numFmtId="0" formatCode="General"/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rgb="FFD6E2EE"/>
        </bottom>
        <vertical/>
        <horizontal/>
      </border>
    </dxf>
    <dxf>
      <border diagonalUp="0" diagonalDown="0">
        <left/>
        <right/>
        <top/>
        <bottom style="thin">
          <color rgb="FFD6E2EE"/>
        </bottom>
        <vertical/>
        <horizontal/>
      </border>
    </dxf>
    <dxf>
      <border diagonalUp="0" diagonalDown="0">
        <left/>
        <right/>
        <top/>
        <bottom style="thin">
          <color rgb="FFD6E2EE"/>
        </bottom>
        <vertical/>
        <horizontal/>
      </border>
    </dxf>
    <dxf>
      <border outline="0">
        <bottom style="thin">
          <color rgb="FFD6E2EE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Inventory Reorder Status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Sheet1!$Q$4</c:f>
              <c:strCache>
                <c:ptCount val="1"/>
                <c:pt idx="0">
                  <c:v>Product 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CC0-4745-80B6-E0286D39210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CC0-4745-80B6-E0286D3921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Sheet1!$P$5:$P$6</c:f>
              <c:strCache>
                <c:ptCount val="2"/>
                <c:pt idx="0">
                  <c:v>Reorder Required</c:v>
                </c:pt>
                <c:pt idx="1">
                  <c:v>No Reorder </c:v>
                </c:pt>
              </c:strCache>
            </c:strRef>
          </c:cat>
          <c:val>
            <c:numRef>
              <c:f>Sheet1!$Q$5:$Q$6</c:f>
              <c:numCache>
                <c:formatCode>General</c:formatCode>
                <c:ptCount val="2"/>
                <c:pt idx="0">
                  <c:v>5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CC-4887-872D-E2AC404A592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2000"/>
              <a:t>Days of Inventory by Product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Sheet1!$G$3</c:f>
              <c:strCache>
                <c:ptCount val="1"/>
                <c:pt idx="0">
                  <c:v>Days of Inventory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Sheet1!$A$4:$A$23</c:f>
              <c:strCache>
                <c:ptCount val="20"/>
                <c:pt idx="0">
                  <c:v>Desk Lamp</c:v>
                </c:pt>
                <c:pt idx="1">
                  <c:v>Bookshelf</c:v>
                </c:pt>
                <c:pt idx="2">
                  <c:v>Notebook</c:v>
                </c:pt>
                <c:pt idx="3">
                  <c:v>Sticky Notes</c:v>
                </c:pt>
                <c:pt idx="4">
                  <c:v>Filing Cabinet</c:v>
                </c:pt>
                <c:pt idx="5">
                  <c:v>Pen Set</c:v>
                </c:pt>
                <c:pt idx="6">
                  <c:v>Laptop Stand</c:v>
                </c:pt>
                <c:pt idx="7">
                  <c:v>USB Cable</c:v>
                </c:pt>
                <c:pt idx="8">
                  <c:v>Printer</c:v>
                </c:pt>
                <c:pt idx="9">
                  <c:v>Keyboard</c:v>
                </c:pt>
                <c:pt idx="10">
                  <c:v>Wireless Mouse</c:v>
                </c:pt>
                <c:pt idx="11">
                  <c:v>Office Chair</c:v>
                </c:pt>
                <c:pt idx="12">
                  <c:v>Headphones</c:v>
                </c:pt>
                <c:pt idx="13">
                  <c:v>Webcam</c:v>
                </c:pt>
                <c:pt idx="14">
                  <c:v>Mechanical Keyboard</c:v>
                </c:pt>
                <c:pt idx="15">
                  <c:v>Bluetooth Speaker</c:v>
                </c:pt>
                <c:pt idx="16">
                  <c:v>Power Bank</c:v>
                </c:pt>
                <c:pt idx="17">
                  <c:v>Laptop</c:v>
                </c:pt>
                <c:pt idx="18">
                  <c:v>Tablet</c:v>
                </c:pt>
                <c:pt idx="19">
                  <c:v>Monitor</c:v>
                </c:pt>
              </c:strCache>
            </c:strRef>
          </c:cat>
          <c:val>
            <c:numRef>
              <c:f>Sheet1!$G$4:$G$23</c:f>
              <c:numCache>
                <c:formatCode>General</c:formatCode>
                <c:ptCount val="20"/>
                <c:pt idx="0">
                  <c:v>95</c:v>
                </c:pt>
                <c:pt idx="1">
                  <c:v>82.5</c:v>
                </c:pt>
                <c:pt idx="2">
                  <c:v>75</c:v>
                </c:pt>
                <c:pt idx="3" formatCode="0.00">
                  <c:v>71.428571428571431</c:v>
                </c:pt>
                <c:pt idx="4">
                  <c:v>50</c:v>
                </c:pt>
                <c:pt idx="5">
                  <c:v>36</c:v>
                </c:pt>
                <c:pt idx="6">
                  <c:v>20</c:v>
                </c:pt>
                <c:pt idx="7">
                  <c:v>15</c:v>
                </c:pt>
                <c:pt idx="8">
                  <c:v>12</c:v>
                </c:pt>
                <c:pt idx="9" formatCode="0.00">
                  <c:v>11.666666666666666</c:v>
                </c:pt>
                <c:pt idx="10" formatCode="0.00">
                  <c:v>10.625</c:v>
                </c:pt>
                <c:pt idx="11">
                  <c:v>8</c:v>
                </c:pt>
                <c:pt idx="12" formatCode="0.00">
                  <c:v>5.7142857142857144</c:v>
                </c:pt>
                <c:pt idx="13" formatCode="0.00">
                  <c:v>5.5555555555555554</c:v>
                </c:pt>
                <c:pt idx="14" formatCode="0.00">
                  <c:v>4.9230769230769234</c:v>
                </c:pt>
                <c:pt idx="15" formatCode="0.00">
                  <c:v>4.666666666666667</c:v>
                </c:pt>
                <c:pt idx="16" formatCode="0.00">
                  <c:v>3.7714285714285718</c:v>
                </c:pt>
                <c:pt idx="17">
                  <c:v>3.6</c:v>
                </c:pt>
                <c:pt idx="18" formatCode="0.00">
                  <c:v>2.5454545454545454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7-4699-BF28-A31A09F5F2B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9441584"/>
        <c:axId val="565622288"/>
      </c:barChart>
      <c:catAx>
        <c:axId val="65944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22288"/>
        <c:crosses val="autoZero"/>
        <c:auto val="1"/>
        <c:lblAlgn val="ctr"/>
        <c:lblOffset val="100"/>
        <c:noMultiLvlLbl val="0"/>
      </c:catAx>
      <c:valAx>
        <c:axId val="5656222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9441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335280</xdr:colOff>
      <xdr:row>8</xdr:row>
      <xdr:rowOff>38100</xdr:rowOff>
    </xdr:from>
    <xdr:to>
      <xdr:col>17</xdr:col>
      <xdr:colOff>472440</xdr:colOff>
      <xdr:row>23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EC8C35-9F36-E6B1-03C4-B4932EEFE5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24</xdr:row>
      <xdr:rowOff>140250</xdr:rowOff>
    </xdr:from>
    <xdr:to>
      <xdr:col>9</xdr:col>
      <xdr:colOff>0</xdr:colOff>
      <xdr:row>59</xdr:row>
      <xdr:rowOff>121919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AADF9A3-5CDB-91C0-59DB-0AA6C723DB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38B7212-85BF-4DCF-978F-E65CBFB4F7B4}" name="Table2" displayName="Table2" ref="A3:J23" totalsRowShown="0" headerRowDxfId="25" dataDxfId="24" tableBorderDxfId="23">
  <autoFilter ref="A3:J23" xr:uid="{938B7212-85BF-4DCF-978F-E65CBFB4F7B4}"/>
  <sortState xmlns:xlrd2="http://schemas.microsoft.com/office/spreadsheetml/2017/richdata2" ref="A4:J23">
    <sortCondition descending="1" ref="G3:G23"/>
  </sortState>
  <tableColumns count="10">
    <tableColumn id="1" xr3:uid="{A077E62B-6796-4C18-882A-546C552EA8DA}" name="Product" dataDxfId="22"/>
    <tableColumn id="2" xr3:uid="{8D0241DC-7F66-4D0A-BAD0-D6A5F8D76B70}" name="Category" dataDxfId="21"/>
    <tableColumn id="3" xr3:uid="{C55EEC05-1ED0-47F6-920E-198F6400966D}" name="Current Stock" dataDxfId="20"/>
    <tableColumn id="4" xr3:uid="{8111648E-936D-4448-87EB-709FF77C9E00}" name="Reorder Level" dataDxfId="19"/>
    <tableColumn id="5" xr3:uid="{B9FDBC8D-84A0-4DFA-8EE7-9CC9C5652032}" name="Units Sold (30 Days)" dataDxfId="18"/>
    <tableColumn id="6" xr3:uid="{E3843BA9-333A-42F5-9C7D-500EB9511248}" name="Avg Daily Sales" dataDxfId="17">
      <calculatedColumnFormula>E4/30</calculatedColumnFormula>
    </tableColumn>
    <tableColumn id="7" xr3:uid="{6F8C5266-21DB-4695-8A04-1AA634DF2256}" name="Days of Inventory" dataDxfId="16">
      <calculatedColumnFormula>C4/F4</calculatedColumnFormula>
    </tableColumn>
    <tableColumn id="8" xr3:uid="{BADA7FAF-8E5C-4036-82B3-38CAE648EDDC}" name="Reorder Status" dataDxfId="15">
      <calculatedColumnFormula>IF(C4&lt;=D4,"Reorder Required","No Reorder")</calculatedColumnFormula>
    </tableColumn>
    <tableColumn id="9" xr3:uid="{3544F3B6-F074-49CB-BCAA-B831B5597087}" name="Movement" dataDxfId="14">
      <calculatedColumnFormula>IF(E4&gt;=150,"Fast Mover",IF(E4&lt;=60,"Slow Mover","Normal Mover"))</calculatedColumnFormula>
    </tableColumn>
    <tableColumn id="10" xr3:uid="{152F4CAE-5CC5-4A62-A1AF-D42E7E118163}" name="Stock Status" dataDxfId="13">
      <calculatedColumnFormula>IF(G4&gt;=30,"Overstock","Normal Stock")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D406F5-3A18-4C29-9414-3A53B374F09B}" name="Table3" displayName="Table3" ref="L4:M7" totalsRowShown="0" headerRowDxfId="12" dataDxfId="11">
  <tableColumns count="2">
    <tableColumn id="1" xr3:uid="{37D33C41-7922-4C99-8112-30C5587372AA}" name="Movement" dataDxfId="10"/>
    <tableColumn id="2" xr3:uid="{55F51C79-DBBF-468D-832C-C6A0DA32BAA5}" name="Product Count" dataDxfId="9">
      <calculatedColumnFormula>COUNTIF(I4:I23,"Fast Mover")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2626984-852E-43E5-9A63-1B7D4571C6C2}" name="Table4" displayName="Table4" ref="P4:Q6" totalsRowShown="0">
  <tableColumns count="2">
    <tableColumn id="1" xr3:uid="{948E200D-DF53-4501-A230-C6053FC18289}" name="Reorder Status"/>
    <tableColumn id="2" xr3:uid="{65292F5F-9998-4615-BBEF-84ADA4AA1DF2}" name="Product Count" dataDxfId="8">
      <calculatedColumnFormula>COUNTIF(H4:H23,"Reorder Required")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23"/>
  <sheetViews>
    <sheetView tabSelected="1" topLeftCell="B1" zoomScale="50" zoomScaleNormal="50" workbookViewId="0">
      <selection activeCell="M41" sqref="M41"/>
    </sheetView>
  </sheetViews>
  <sheetFormatPr defaultRowHeight="14.4" x14ac:dyDescent="0.3"/>
  <cols>
    <col min="1" max="1" width="21.44140625" customWidth="1"/>
    <col min="2" max="2" width="20.88671875" customWidth="1"/>
    <col min="3" max="4" width="14.33203125" customWidth="1"/>
    <col min="5" max="5" width="19.5546875" customWidth="1"/>
    <col min="6" max="6" width="18.109375" customWidth="1"/>
    <col min="7" max="7" width="21" customWidth="1"/>
    <col min="8" max="8" width="21.33203125" customWidth="1"/>
    <col min="9" max="9" width="16.88671875" customWidth="1"/>
    <col min="10" max="10" width="15.6640625" customWidth="1"/>
    <col min="12" max="12" width="19" customWidth="1"/>
    <col min="13" max="13" width="16.77734375" customWidth="1"/>
    <col min="16" max="16" width="20.6640625" customWidth="1"/>
    <col min="17" max="17" width="17.6640625" customWidth="1"/>
    <col min="18" max="19" width="8.88671875" customWidth="1"/>
  </cols>
  <sheetData>
    <row r="3" spans="1:18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29</v>
      </c>
      <c r="G3" s="1" t="s">
        <v>30</v>
      </c>
      <c r="H3" s="1" t="s">
        <v>31</v>
      </c>
      <c r="I3" s="1" t="s">
        <v>32</v>
      </c>
      <c r="J3" s="1" t="s">
        <v>33</v>
      </c>
    </row>
    <row r="4" spans="1:18" x14ac:dyDescent="0.3">
      <c r="A4" s="2" t="s">
        <v>13</v>
      </c>
      <c r="B4" s="2" t="s">
        <v>10</v>
      </c>
      <c r="C4" s="3">
        <v>95</v>
      </c>
      <c r="D4" s="3">
        <v>25</v>
      </c>
      <c r="E4" s="3">
        <v>30</v>
      </c>
      <c r="F4" s="1">
        <f t="shared" ref="F4:F23" si="0">E4/30</f>
        <v>1</v>
      </c>
      <c r="G4" s="1">
        <f t="shared" ref="G4:G23" si="1">C4/F4</f>
        <v>95</v>
      </c>
      <c r="H4" s="1" t="str">
        <f t="shared" ref="H4:H23" si="2">IF(C4&lt;=D4,"Reorder Required","No Reorder")</f>
        <v>No Reorder</v>
      </c>
      <c r="I4" s="1" t="str">
        <f t="shared" ref="I4:I23" si="3">IF(E4&gt;=150,"Fast Mover",IF(E4&lt;=60,"Slow Mover","Normal Mover"))</f>
        <v>Slow Mover</v>
      </c>
      <c r="J4" s="5" t="str">
        <f t="shared" ref="J4:J23" si="4">IF(G4&gt;=30,"Overstock","Normal Stock")</f>
        <v>Overstock</v>
      </c>
      <c r="L4" s="1" t="s">
        <v>32</v>
      </c>
      <c r="M4" s="1" t="s">
        <v>34</v>
      </c>
      <c r="P4" t="s">
        <v>31</v>
      </c>
      <c r="Q4" t="s">
        <v>34</v>
      </c>
    </row>
    <row r="5" spans="1:18" x14ac:dyDescent="0.3">
      <c r="A5" s="2" t="s">
        <v>22</v>
      </c>
      <c r="B5" s="2" t="s">
        <v>10</v>
      </c>
      <c r="C5" s="3">
        <v>55</v>
      </c>
      <c r="D5" s="3">
        <v>20</v>
      </c>
      <c r="E5" s="3">
        <v>20</v>
      </c>
      <c r="F5" s="4">
        <f t="shared" si="0"/>
        <v>0.66666666666666663</v>
      </c>
      <c r="G5" s="1">
        <f t="shared" si="1"/>
        <v>82.5</v>
      </c>
      <c r="H5" s="1" t="str">
        <f t="shared" si="2"/>
        <v>No Reorder</v>
      </c>
      <c r="I5" s="1" t="str">
        <f t="shared" si="3"/>
        <v>Slow Mover</v>
      </c>
      <c r="J5" s="5" t="str">
        <f t="shared" si="4"/>
        <v>Overstock</v>
      </c>
      <c r="L5" s="5" t="s">
        <v>35</v>
      </c>
      <c r="M5" s="1">
        <f t="shared" ref="M5" si="5">COUNTIF(I4:I23,"Fast Mover")</f>
        <v>10</v>
      </c>
      <c r="P5" t="s">
        <v>39</v>
      </c>
      <c r="Q5">
        <f t="shared" ref="Q5" si="6">COUNTIF(H4:H23,"Reorder Required")</f>
        <v>5</v>
      </c>
    </row>
    <row r="6" spans="1:18" x14ac:dyDescent="0.3">
      <c r="A6" s="2" t="s">
        <v>17</v>
      </c>
      <c r="B6" s="2" t="s">
        <v>18</v>
      </c>
      <c r="C6" s="3">
        <v>200</v>
      </c>
      <c r="D6" s="3">
        <v>50</v>
      </c>
      <c r="E6" s="3">
        <v>80</v>
      </c>
      <c r="F6" s="4">
        <f t="shared" si="0"/>
        <v>2.6666666666666665</v>
      </c>
      <c r="G6" s="1">
        <f t="shared" si="1"/>
        <v>75</v>
      </c>
      <c r="H6" s="1" t="str">
        <f t="shared" si="2"/>
        <v>No Reorder</v>
      </c>
      <c r="I6" s="1" t="str">
        <f t="shared" si="3"/>
        <v>Normal Mover</v>
      </c>
      <c r="J6" s="5" t="str">
        <f t="shared" si="4"/>
        <v>Overstock</v>
      </c>
      <c r="L6" s="5" t="s">
        <v>36</v>
      </c>
      <c r="M6" s="1">
        <f>COUNTIF(I4:I23,"Normal Mover")</f>
        <v>5</v>
      </c>
      <c r="P6" t="s">
        <v>40</v>
      </c>
      <c r="Q6">
        <f>COUNTIF(H4:H23,"No Reorder")</f>
        <v>15</v>
      </c>
    </row>
    <row r="7" spans="1:18" x14ac:dyDescent="0.3">
      <c r="A7" s="2" t="s">
        <v>27</v>
      </c>
      <c r="B7" s="2" t="s">
        <v>18</v>
      </c>
      <c r="C7" s="3">
        <v>250</v>
      </c>
      <c r="D7" s="3">
        <v>70</v>
      </c>
      <c r="E7" s="3">
        <v>105</v>
      </c>
      <c r="F7" s="1">
        <f t="shared" si="0"/>
        <v>3.5</v>
      </c>
      <c r="G7" s="4">
        <f t="shared" si="1"/>
        <v>71.428571428571431</v>
      </c>
      <c r="H7" s="1" t="str">
        <f t="shared" si="2"/>
        <v>No Reorder</v>
      </c>
      <c r="I7" s="1" t="str">
        <f t="shared" si="3"/>
        <v>Normal Mover</v>
      </c>
      <c r="J7" s="5" t="str">
        <f t="shared" si="4"/>
        <v>Overstock</v>
      </c>
      <c r="L7" s="5" t="s">
        <v>37</v>
      </c>
      <c r="M7" s="1">
        <f>COUNTIF(I4:I23,"Slow Mover")</f>
        <v>5</v>
      </c>
    </row>
    <row r="8" spans="1:18" x14ac:dyDescent="0.3">
      <c r="A8" s="2" t="s">
        <v>26</v>
      </c>
      <c r="B8" s="2" t="s">
        <v>10</v>
      </c>
      <c r="C8" s="3">
        <v>30</v>
      </c>
      <c r="D8" s="3">
        <v>12</v>
      </c>
      <c r="E8" s="3">
        <v>18</v>
      </c>
      <c r="F8" s="1">
        <f t="shared" si="0"/>
        <v>0.6</v>
      </c>
      <c r="G8" s="1">
        <f t="shared" si="1"/>
        <v>50</v>
      </c>
      <c r="H8" s="1" t="str">
        <f t="shared" si="2"/>
        <v>No Reorder</v>
      </c>
      <c r="I8" s="1" t="str">
        <f t="shared" si="3"/>
        <v>Slow Mover</v>
      </c>
      <c r="J8" s="5" t="str">
        <f t="shared" si="4"/>
        <v>Overstock</v>
      </c>
    </row>
    <row r="9" spans="1:18" x14ac:dyDescent="0.3">
      <c r="A9" s="2" t="s">
        <v>23</v>
      </c>
      <c r="B9" s="2" t="s">
        <v>18</v>
      </c>
      <c r="C9" s="3">
        <v>180</v>
      </c>
      <c r="D9" s="3">
        <v>60</v>
      </c>
      <c r="E9" s="3">
        <v>150</v>
      </c>
      <c r="F9" s="1">
        <f t="shared" si="0"/>
        <v>5</v>
      </c>
      <c r="G9" s="1">
        <f t="shared" si="1"/>
        <v>36</v>
      </c>
      <c r="H9" s="1" t="str">
        <f t="shared" si="2"/>
        <v>No Reorder</v>
      </c>
      <c r="I9" s="1" t="str">
        <f t="shared" si="3"/>
        <v>Fast Mover</v>
      </c>
      <c r="J9" s="5" t="str">
        <f t="shared" si="4"/>
        <v>Overstock</v>
      </c>
    </row>
    <row r="10" spans="1:18" x14ac:dyDescent="0.3">
      <c r="A10" s="2" t="s">
        <v>25</v>
      </c>
      <c r="B10" s="2" t="s">
        <v>8</v>
      </c>
      <c r="C10" s="3">
        <v>60</v>
      </c>
      <c r="D10" s="3">
        <v>20</v>
      </c>
      <c r="E10" s="3">
        <v>90</v>
      </c>
      <c r="F10" s="1">
        <f t="shared" si="0"/>
        <v>3</v>
      </c>
      <c r="G10" s="1">
        <f t="shared" si="1"/>
        <v>20</v>
      </c>
      <c r="H10" s="1" t="str">
        <f t="shared" si="2"/>
        <v>No Reorder</v>
      </c>
      <c r="I10" s="1" t="str">
        <f t="shared" si="3"/>
        <v>Normal Mover</v>
      </c>
      <c r="J10" s="5" t="str">
        <f t="shared" si="4"/>
        <v>Normal Stock</v>
      </c>
    </row>
    <row r="11" spans="1:18" x14ac:dyDescent="0.3">
      <c r="A11" s="2" t="s">
        <v>15</v>
      </c>
      <c r="B11" s="2" t="s">
        <v>8</v>
      </c>
      <c r="C11" s="3">
        <v>150</v>
      </c>
      <c r="D11" s="3">
        <v>40</v>
      </c>
      <c r="E11" s="3">
        <v>300</v>
      </c>
      <c r="F11" s="1">
        <f t="shared" si="0"/>
        <v>10</v>
      </c>
      <c r="G11" s="1">
        <f t="shared" si="1"/>
        <v>15</v>
      </c>
      <c r="H11" s="1" t="str">
        <f t="shared" si="2"/>
        <v>No Reorder</v>
      </c>
      <c r="I11" s="1" t="str">
        <f t="shared" si="3"/>
        <v>Fast Mover</v>
      </c>
      <c r="J11" s="5" t="str">
        <f t="shared" si="4"/>
        <v>Normal Stock</v>
      </c>
      <c r="R11" t="s">
        <v>38</v>
      </c>
    </row>
    <row r="12" spans="1:18" x14ac:dyDescent="0.3">
      <c r="A12" s="2" t="s">
        <v>16</v>
      </c>
      <c r="B12" s="2" t="s">
        <v>6</v>
      </c>
      <c r="C12" s="3">
        <v>10</v>
      </c>
      <c r="D12" s="3">
        <v>15</v>
      </c>
      <c r="E12" s="3">
        <v>25</v>
      </c>
      <c r="F12" s="4">
        <f t="shared" si="0"/>
        <v>0.83333333333333337</v>
      </c>
      <c r="G12" s="1">
        <f t="shared" si="1"/>
        <v>12</v>
      </c>
      <c r="H12" s="1" t="str">
        <f t="shared" si="2"/>
        <v>Reorder Required</v>
      </c>
      <c r="I12" s="1" t="str">
        <f t="shared" si="3"/>
        <v>Slow Mover</v>
      </c>
      <c r="J12" s="5" t="str">
        <f t="shared" si="4"/>
        <v>Normal Stock</v>
      </c>
    </row>
    <row r="13" spans="1:18" x14ac:dyDescent="0.3">
      <c r="A13" s="2" t="s">
        <v>11</v>
      </c>
      <c r="B13" s="2" t="s">
        <v>8</v>
      </c>
      <c r="C13" s="3">
        <v>70</v>
      </c>
      <c r="D13" s="3">
        <v>25</v>
      </c>
      <c r="E13" s="3">
        <v>180</v>
      </c>
      <c r="F13" s="1">
        <f t="shared" si="0"/>
        <v>6</v>
      </c>
      <c r="G13" s="4">
        <f t="shared" si="1"/>
        <v>11.666666666666666</v>
      </c>
      <c r="H13" s="1" t="str">
        <f t="shared" si="2"/>
        <v>No Reorder</v>
      </c>
      <c r="I13" s="1" t="str">
        <f t="shared" si="3"/>
        <v>Fast Mover</v>
      </c>
      <c r="J13" s="5" t="str">
        <f t="shared" si="4"/>
        <v>Normal Stock</v>
      </c>
    </row>
    <row r="14" spans="1:18" x14ac:dyDescent="0.3">
      <c r="A14" s="2" t="s">
        <v>7</v>
      </c>
      <c r="B14" s="2" t="s">
        <v>8</v>
      </c>
      <c r="C14" s="3">
        <v>85</v>
      </c>
      <c r="D14" s="3">
        <v>30</v>
      </c>
      <c r="E14" s="3">
        <v>240</v>
      </c>
      <c r="F14" s="1">
        <f t="shared" si="0"/>
        <v>8</v>
      </c>
      <c r="G14" s="4">
        <f t="shared" si="1"/>
        <v>10.625</v>
      </c>
      <c r="H14" s="1" t="str">
        <f t="shared" si="2"/>
        <v>No Reorder</v>
      </c>
      <c r="I14" s="1" t="str">
        <f t="shared" si="3"/>
        <v>Fast Mover</v>
      </c>
      <c r="J14" s="5" t="str">
        <f t="shared" si="4"/>
        <v>Normal Stock</v>
      </c>
    </row>
    <row r="15" spans="1:18" x14ac:dyDescent="0.3">
      <c r="A15" s="2" t="s">
        <v>9</v>
      </c>
      <c r="B15" s="2" t="s">
        <v>10</v>
      </c>
      <c r="C15" s="3">
        <v>12</v>
      </c>
      <c r="D15" s="3">
        <v>15</v>
      </c>
      <c r="E15" s="3">
        <v>45</v>
      </c>
      <c r="F15" s="1">
        <f t="shared" si="0"/>
        <v>1.5</v>
      </c>
      <c r="G15" s="1">
        <f t="shared" si="1"/>
        <v>8</v>
      </c>
      <c r="H15" s="1" t="str">
        <f t="shared" si="2"/>
        <v>Reorder Required</v>
      </c>
      <c r="I15" s="1" t="str">
        <f t="shared" si="3"/>
        <v>Slow Mover</v>
      </c>
      <c r="J15" s="5" t="str">
        <f t="shared" si="4"/>
        <v>Normal Stock</v>
      </c>
    </row>
    <row r="16" spans="1:18" x14ac:dyDescent="0.3">
      <c r="A16" s="2" t="s">
        <v>14</v>
      </c>
      <c r="B16" s="2" t="s">
        <v>6</v>
      </c>
      <c r="C16" s="3">
        <v>40</v>
      </c>
      <c r="D16" s="3">
        <v>20</v>
      </c>
      <c r="E16" s="3">
        <v>210</v>
      </c>
      <c r="F16" s="1">
        <f t="shared" si="0"/>
        <v>7</v>
      </c>
      <c r="G16" s="4">
        <f t="shared" si="1"/>
        <v>5.7142857142857144</v>
      </c>
      <c r="H16" s="1" t="str">
        <f t="shared" si="2"/>
        <v>No Reorder</v>
      </c>
      <c r="I16" s="1" t="str">
        <f t="shared" si="3"/>
        <v>Fast Mover</v>
      </c>
      <c r="J16" s="5" t="str">
        <f t="shared" si="4"/>
        <v>Normal Stock</v>
      </c>
    </row>
    <row r="17" spans="1:10" x14ac:dyDescent="0.3">
      <c r="A17" s="2" t="s">
        <v>19</v>
      </c>
      <c r="B17" s="2" t="s">
        <v>6</v>
      </c>
      <c r="C17" s="3">
        <v>25</v>
      </c>
      <c r="D17" s="3">
        <v>15</v>
      </c>
      <c r="E17" s="3">
        <v>135</v>
      </c>
      <c r="F17" s="1">
        <f t="shared" si="0"/>
        <v>4.5</v>
      </c>
      <c r="G17" s="4">
        <f t="shared" si="1"/>
        <v>5.5555555555555554</v>
      </c>
      <c r="H17" s="1" t="str">
        <f t="shared" si="2"/>
        <v>No Reorder</v>
      </c>
      <c r="I17" s="1" t="str">
        <f t="shared" si="3"/>
        <v>Normal Mover</v>
      </c>
      <c r="J17" s="5" t="str">
        <f t="shared" si="4"/>
        <v>Normal Stock</v>
      </c>
    </row>
    <row r="18" spans="1:10" x14ac:dyDescent="0.3">
      <c r="A18" s="2" t="s">
        <v>20</v>
      </c>
      <c r="B18" s="2" t="s">
        <v>8</v>
      </c>
      <c r="C18" s="3">
        <v>32</v>
      </c>
      <c r="D18" s="3">
        <v>15</v>
      </c>
      <c r="E18" s="3">
        <v>195</v>
      </c>
      <c r="F18" s="1">
        <f t="shared" si="0"/>
        <v>6.5</v>
      </c>
      <c r="G18" s="4">
        <f t="shared" si="1"/>
        <v>4.9230769230769234</v>
      </c>
      <c r="H18" s="1" t="str">
        <f t="shared" si="2"/>
        <v>No Reorder</v>
      </c>
      <c r="I18" s="1" t="str">
        <f t="shared" si="3"/>
        <v>Fast Mover</v>
      </c>
      <c r="J18" s="5" t="str">
        <f t="shared" si="4"/>
        <v>Normal Stock</v>
      </c>
    </row>
    <row r="19" spans="1:10" x14ac:dyDescent="0.3">
      <c r="A19" s="2" t="s">
        <v>28</v>
      </c>
      <c r="B19" s="2" t="s">
        <v>6</v>
      </c>
      <c r="C19" s="3">
        <v>35</v>
      </c>
      <c r="D19" s="3">
        <v>18</v>
      </c>
      <c r="E19" s="3">
        <v>225</v>
      </c>
      <c r="F19" s="1">
        <f t="shared" si="0"/>
        <v>7.5</v>
      </c>
      <c r="G19" s="4">
        <f t="shared" si="1"/>
        <v>4.666666666666667</v>
      </c>
      <c r="H19" s="1" t="str">
        <f t="shared" si="2"/>
        <v>No Reorder</v>
      </c>
      <c r="I19" s="1" t="str">
        <f t="shared" si="3"/>
        <v>Fast Mover</v>
      </c>
      <c r="J19" s="5" t="str">
        <f t="shared" si="4"/>
        <v>Normal Stock</v>
      </c>
    </row>
    <row r="20" spans="1:10" x14ac:dyDescent="0.3">
      <c r="A20" s="2" t="s">
        <v>24</v>
      </c>
      <c r="B20" s="2" t="s">
        <v>6</v>
      </c>
      <c r="C20" s="3">
        <v>22</v>
      </c>
      <c r="D20" s="3">
        <v>20</v>
      </c>
      <c r="E20" s="3">
        <v>175</v>
      </c>
      <c r="F20" s="4">
        <f t="shared" si="0"/>
        <v>5.833333333333333</v>
      </c>
      <c r="G20" s="4">
        <f t="shared" si="1"/>
        <v>3.7714285714285718</v>
      </c>
      <c r="H20" s="1" t="str">
        <f t="shared" si="2"/>
        <v>No Reorder</v>
      </c>
      <c r="I20" s="1" t="str">
        <f t="shared" si="3"/>
        <v>Fast Mover</v>
      </c>
      <c r="J20" s="5" t="str">
        <f t="shared" si="4"/>
        <v>Normal Stock</v>
      </c>
    </row>
    <row r="21" spans="1:10" x14ac:dyDescent="0.3">
      <c r="A21" s="2" t="s">
        <v>5</v>
      </c>
      <c r="B21" s="2" t="s">
        <v>6</v>
      </c>
      <c r="C21" s="3">
        <v>18</v>
      </c>
      <c r="D21" s="3">
        <v>20</v>
      </c>
      <c r="E21" s="3">
        <v>150</v>
      </c>
      <c r="F21" s="1">
        <f t="shared" si="0"/>
        <v>5</v>
      </c>
      <c r="G21" s="1">
        <f t="shared" si="1"/>
        <v>3.6</v>
      </c>
      <c r="H21" s="1" t="str">
        <f t="shared" si="2"/>
        <v>Reorder Required</v>
      </c>
      <c r="I21" s="1" t="str">
        <f t="shared" si="3"/>
        <v>Fast Mover</v>
      </c>
      <c r="J21" s="5" t="str">
        <f t="shared" si="4"/>
        <v>Normal Stock</v>
      </c>
    </row>
    <row r="22" spans="1:10" x14ac:dyDescent="0.3">
      <c r="A22" s="2" t="s">
        <v>21</v>
      </c>
      <c r="B22" s="2" t="s">
        <v>6</v>
      </c>
      <c r="C22" s="3">
        <v>14</v>
      </c>
      <c r="D22" s="3">
        <v>18</v>
      </c>
      <c r="E22" s="3">
        <v>165</v>
      </c>
      <c r="F22" s="1">
        <f t="shared" si="0"/>
        <v>5.5</v>
      </c>
      <c r="G22" s="4">
        <f t="shared" si="1"/>
        <v>2.5454545454545454</v>
      </c>
      <c r="H22" s="1" t="str">
        <f t="shared" si="2"/>
        <v>Reorder Required</v>
      </c>
      <c r="I22" s="1" t="str">
        <f t="shared" si="3"/>
        <v>Fast Mover</v>
      </c>
      <c r="J22" s="5" t="str">
        <f t="shared" si="4"/>
        <v>Normal Stock</v>
      </c>
    </row>
    <row r="23" spans="1:10" x14ac:dyDescent="0.3">
      <c r="A23" t="s">
        <v>12</v>
      </c>
      <c r="B23" t="s">
        <v>6</v>
      </c>
      <c r="C23" s="1">
        <v>8</v>
      </c>
      <c r="D23" s="1">
        <v>12</v>
      </c>
      <c r="E23" s="1">
        <v>120</v>
      </c>
      <c r="F23" s="1">
        <f t="shared" si="0"/>
        <v>4</v>
      </c>
      <c r="G23" s="1">
        <f t="shared" si="1"/>
        <v>2</v>
      </c>
      <c r="H23" s="1" t="str">
        <f t="shared" si="2"/>
        <v>Reorder Required</v>
      </c>
      <c r="I23" s="1" t="str">
        <f t="shared" si="3"/>
        <v>Normal Mover</v>
      </c>
      <c r="J23" s="5" t="str">
        <f t="shared" si="4"/>
        <v>Normal Stock</v>
      </c>
    </row>
  </sheetData>
  <conditionalFormatting sqref="H4:H23">
    <cfRule type="containsText" dxfId="7" priority="7" operator="containsText" text="No Reorder">
      <formula>NOT(ISERROR(SEARCH("No Reorder",H4)))</formula>
    </cfRule>
    <cfRule type="containsText" dxfId="6" priority="8" operator="containsText" text="Reorder Required">
      <formula>NOT(ISERROR(SEARCH("Reorder Required",H4)))</formula>
    </cfRule>
  </conditionalFormatting>
  <conditionalFormatting sqref="I4:I23">
    <cfRule type="containsText" dxfId="5" priority="4" operator="containsText" text="Slow Mover">
      <formula>NOT(ISERROR(SEARCH("Slow Mover",I4)))</formula>
    </cfRule>
    <cfRule type="containsText" dxfId="4" priority="5" operator="containsText" text="Normal Mover">
      <formula>NOT(ISERROR(SEARCH("Normal Mover",I4)))</formula>
    </cfRule>
    <cfRule type="containsText" dxfId="3" priority="6" operator="containsText" text="Fast Mover">
      <formula>NOT(ISERROR(SEARCH("Fast Mover",I4)))</formula>
    </cfRule>
  </conditionalFormatting>
  <conditionalFormatting sqref="J4:J23">
    <cfRule type="containsText" dxfId="2" priority="1" operator="containsText" text="Overstock">
      <formula>NOT(ISERROR(SEARCH("Overstock",J4)))</formula>
    </cfRule>
    <cfRule type="containsText" dxfId="1" priority="2" operator="containsText" text="Normal Stock">
      <formula>NOT(ISERROR(SEARCH("Normal Stock",J4)))</formula>
    </cfRule>
    <cfRule type="containsText" dxfId="0" priority="3" operator="containsText" text="Overstock">
      <formula>NOT(ISERROR(SEARCH("Overstock",J4)))</formula>
    </cfRule>
  </conditionalFormatting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2026-10-04T06:59:56Z</dcterms:modified>
</cp:coreProperties>
</file>