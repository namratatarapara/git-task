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E0922044-C714-47F8-956F-84A4BB646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 a="1"/>
  <c r="N8" i="1" a="1"/>
  <c r="N7" i="1" a="1"/>
  <c r="N6" i="1" a="1"/>
  <c r="L9" i="1"/>
  <c r="L8" i="1"/>
  <c r="O8" i="1" s="1"/>
  <c r="L7" i="1"/>
  <c r="L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O9" i="1" l="1"/>
  <c r="O7" i="1"/>
  <c r="O6" i="1"/>
  <c r="M9" i="1"/>
  <c r="L14" i="1"/>
  <c r="L13" i="1"/>
  <c r="M7" i="1"/>
  <c r="M8" i="1"/>
  <c r="M6" i="1"/>
  <c r="L16" i="1" l="1"/>
  <c r="L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<sst xmlns="http://schemas.openxmlformats.org/spreadsheetml/2006/main" count="143" uniqueCount="68">
  <si>
    <t>Order ID</t>
  </si>
  <si>
    <t>Order Date</t>
  </si>
  <si>
    <t>Region</t>
  </si>
  <si>
    <t>Category</t>
  </si>
  <si>
    <t>Sales</t>
  </si>
  <si>
    <t>West</t>
  </si>
  <si>
    <t>Furniture</t>
  </si>
  <si>
    <t>South</t>
  </si>
  <si>
    <t>North</t>
  </si>
  <si>
    <t>Technology</t>
  </si>
  <si>
    <t>Office Supplies</t>
  </si>
  <si>
    <t>East</t>
  </si>
  <si>
    <t>Customer ID</t>
  </si>
  <si>
    <t>Cost</t>
  </si>
  <si>
    <t>Profit</t>
  </si>
  <si>
    <t>ORD001</t>
  </si>
  <si>
    <t>C001</t>
  </si>
  <si>
    <t>ORD002</t>
  </si>
  <si>
    <t>C002</t>
  </si>
  <si>
    <t>ORD003</t>
  </si>
  <si>
    <t>C003</t>
  </si>
  <si>
    <t>ORD004</t>
  </si>
  <si>
    <t>C004</t>
  </si>
  <si>
    <t>ORD005</t>
  </si>
  <si>
    <t>C005</t>
  </si>
  <si>
    <t>ORD006</t>
  </si>
  <si>
    <t>C006</t>
  </si>
  <si>
    <t>ORD007</t>
  </si>
  <si>
    <t>ORD008</t>
  </si>
  <si>
    <t>C007</t>
  </si>
  <si>
    <t>ORD009</t>
  </si>
  <si>
    <t>C008</t>
  </si>
  <si>
    <t>ORD010</t>
  </si>
  <si>
    <t>ORD011</t>
  </si>
  <si>
    <t>C009</t>
  </si>
  <si>
    <t>ORD012</t>
  </si>
  <si>
    <t>C010</t>
  </si>
  <si>
    <t>ORD013</t>
  </si>
  <si>
    <t>ORD014</t>
  </si>
  <si>
    <t>C011</t>
  </si>
  <si>
    <t>ORD015</t>
  </si>
  <si>
    <t>C012</t>
  </si>
  <si>
    <t>ORD016</t>
  </si>
  <si>
    <t>ORD017</t>
  </si>
  <si>
    <t>ORD018</t>
  </si>
  <si>
    <t>ORD019</t>
  </si>
  <si>
    <t>C013</t>
  </si>
  <si>
    <t>ORD020</t>
  </si>
  <si>
    <t>C014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</si>
  <si>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</si>
  <si>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</si>
  <si>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</si>
  <si>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</si>
  <si>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</si>
  <si>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</si>
  <si>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</si>
  <si>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</si>
  <si>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</si>
  <si>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</si>
  <si>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Customer count</t>
  </si>
  <si>
    <t>Sales %</t>
  </si>
  <si>
    <t>KPI</t>
  </si>
  <si>
    <t>Result</t>
  </si>
  <si>
    <t>Highest Sales Region</t>
  </si>
  <si>
    <t>Lowest Sales Region</t>
  </si>
  <si>
    <t>Highest Profit Region</t>
  </si>
  <si>
    <t>Lowest Profit Region</t>
  </si>
  <si>
    <t>Revenue/Sales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</si>
</sst>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9" fontId="0" fillId="0" borderId="0" xfId="42" applyFont="1"/>
    <xf numFmtId="9" fontId="0" fillId="0" borderId="0" xfId="42" applyFont="1" applyAlignment="1">
      <alignment horizontal="center"/>
    </xf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164" formatCode="dd\-mm\-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7C0BA-09D3-41BD-9303-8CC300AEFA01}" name="Table1" displayName="Table1" ref="A3:H33" totalsRowShown="0" headerRowDxfId="11">
  <tableColumns count="8">
    <tableColumn id="1" xr3:uid="{0235A89D-2415-41DC-9AF1-CC5929D827D4}" name="Order ID"/>
    <tableColumn id="2" xr3:uid="{85D4D401-B27C-45D5-B8BD-DB31CC8C5378}" name="Order Date" dataDxfId="10"/>
    <tableColumn id="3" xr3:uid="{4649A512-B829-4EA3-B748-86F2AED1297A}" name="Customer ID"/>
    <tableColumn id="4" xr3:uid="{F78B7216-D246-44E5-9EBC-C89ED28E153E}" name="Region"/>
    <tableColumn id="5" xr3:uid="{09A02867-D738-488E-A8AF-7C1AFD57794C}" name="Category"/>
    <tableColumn id="6" xr3:uid="{EB147E48-82D6-432C-805D-B7E362E82122}" name="Sales" dataDxfId="9"/>
    <tableColumn id="7" xr3:uid="{C4FDD780-1DDC-467A-89B7-FBC7283920AC}" name="Cost" dataDxfId="8"/>
    <tableColumn id="9" xr3:uid="{A03D7B95-F20B-4F29-B9BB-358533477C9A}" name="Profit" dataDxfId="7">
      <calculatedColumnFormula>F4-G4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8A9AA1-9511-45F3-92BD-8067DF568166}" name="Table245" displayName="Table245" ref="K5:O9" totalsRowShown="0" headerRowDxfId="6">
  <tableColumns count="5">
    <tableColumn id="1" xr3:uid="{20D1CE67-86ED-431E-9ADD-FD44DAF84A27}" name="Region"/>
    <tableColumn id="2" xr3:uid="{119D7BEF-25DD-4CD1-8D9B-8E5F9D6811B3}" name="Revenue/Sales" dataDxfId="5">
      <calculatedColumnFormula>SUMIF(D4:D33,"North",F4:F33)</calculatedColumnFormula>
    </tableColumn>
    <tableColumn id="3" xr3:uid="{FF419C1D-5B54-4CB6-9663-A0A0F99FCE66}" name="Profit" dataDxfId="4">
      <calculatedColumnFormula>SUMIF(D4:D33,"North",H4:H33)</calculatedColumnFormula>
    </tableColumn>
    <tableColumn id="4" xr3:uid="{6AB6B523-4F38-41B5-B851-F6D189DF1CEF}" name="Customer count" dataDxfId="3">
      <calculatedColumnFormula array="1">COUNTA(_xlfn.UNIQUE(_xlfn._xlws.FILTER(C4:C33,D4:D33="North")))</calculatedColumnFormula>
    </tableColumn>
    <tableColumn id="5" xr3:uid="{3C68C567-C5C5-4A27-977B-16026C0BE8EB}" name="Sales %" dataDxfId="2" dataCellStyle="Percent">
      <calculatedColumnFormula>L6/SUM(L5:L8)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652972-5DDD-4759-A3C9-335095D4F8F3}" name="Table6" displayName="Table6" ref="K12:L16" totalsRowShown="0" headerRowDxfId="1">
  <tableColumns count="2">
    <tableColumn id="1" xr3:uid="{965A3BE4-7C7A-466E-B535-DDB085F20401}" name="KPI"/>
    <tableColumn id="2" xr3:uid="{BBAD3CD7-4F40-4956-8988-CF3BE318A6C1}" name="Result" dataDxfId="0">
      <calculatedColumnFormula>_xlfn.XLOOKUP(MAX(L6:L9),L6:L9,K6:K9)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33"/>
  <sheetViews>
    <sheetView tabSelected="1" zoomScale="81" workbookViewId="0">
      <selection activeCell="N14" sqref="N14"/>
    </sheetView>
  </sheetViews>
  <sheetFormatPr defaultRowHeight="14.4" x14ac:dyDescent="0.3"/>
  <cols>
    <col min="1" max="1" width="14.5546875" customWidth="1"/>
    <col min="2" max="2" width="16.6640625" customWidth="1"/>
    <col min="3" max="3" width="16.44140625" customWidth="1"/>
    <col min="4" max="4" width="16.33203125" customWidth="1"/>
    <col min="5" max="5" width="16.77734375" customWidth="1"/>
    <col min="6" max="6" width="17.5546875" customWidth="1"/>
    <col min="8" max="8" width="12.33203125" customWidth="1"/>
    <col min="10" max="10" width="10.44140625" customWidth="1"/>
    <col min="11" max="11" width="23" customWidth="1"/>
    <col min="12" max="12" width="18.21875" customWidth="1"/>
    <col min="13" max="13" width="14.77734375" customWidth="1"/>
    <col min="14" max="14" width="18.77734375" customWidth="1"/>
    <col min="15" max="15" width="13.77734375" style="6" customWidth="1"/>
  </cols>
  <sheetData>
    <row r="3" spans="1:15" x14ac:dyDescent="0.3">
      <c r="A3" s="3" t="s">
        <v>0</v>
      </c>
      <c r="B3" s="3" t="s">
        <v>1</v>
      </c>
      <c r="C3" s="3" t="s">
        <v>12</v>
      </c>
      <c r="D3" s="3" t="s">
        <v>2</v>
      </c>
      <c r="E3" s="3" t="s">
        <v>3</v>
      </c>
      <c r="F3" s="3" t="s">
        <v>4</v>
      </c>
      <c r="G3" s="3" t="s">
        <v>13</v>
      </c>
      <c r="H3" s="3" t="s">
        <v>14</v>
      </c>
    </row>
    <row r="4" spans="1:15" x14ac:dyDescent="0.3">
      <c r="A4" t="s">
        <v>15</v>
      </c>
      <c r="B4" s="1">
        <v>46266</v>
      </c>
      <c r="C4" t="s">
        <v>16</v>
      </c>
      <c r="D4" t="s">
        <v>8</v>
      </c>
      <c r="E4" t="s">
        <v>9</v>
      </c>
      <c r="F4" s="2">
        <v>5200</v>
      </c>
      <c r="G4" s="2">
        <v>3300</v>
      </c>
      <c r="H4" s="2">
        <f t="shared" ref="H4:H33" si="0">F4-G4</f>
        <v>1900</v>
      </c>
    </row>
    <row r="5" spans="1:15" x14ac:dyDescent="0.3">
      <c r="A5" t="s">
        <v>17</v>
      </c>
      <c r="B5" s="1">
        <v>46267</v>
      </c>
      <c r="C5" t="s">
        <v>18</v>
      </c>
      <c r="D5" t="s">
        <v>7</v>
      </c>
      <c r="E5" t="s">
        <v>6</v>
      </c>
      <c r="F5" s="2">
        <v>7800</v>
      </c>
      <c r="G5" s="2">
        <v>5100</v>
      </c>
      <c r="H5" s="2">
        <f t="shared" si="0"/>
        <v>2700</v>
      </c>
      <c r="K5" s="4" t="s">
        <v>2</v>
      </c>
      <c r="L5" s="4" t="s">
        <v>67</v>
      </c>
      <c r="M5" s="4" t="s">
        <v>14</v>
      </c>
      <c r="N5" s="4" t="s">
        <v>59</v>
      </c>
      <c r="O5" s="7" t="s">
        <v>60</v>
      </c>
    </row>
    <row r="6" spans="1:15" x14ac:dyDescent="0.3">
      <c r="A6" t="s">
        <v>19</v>
      </c>
      <c r="B6" s="1">
        <v>46268</v>
      </c>
      <c r="C6" t="s">
        <v>20</v>
      </c>
      <c r="D6" t="s">
        <v>11</v>
      </c>
      <c r="E6" t="s">
        <v>10</v>
      </c>
      <c r="F6" s="2">
        <v>2100</v>
      </c>
      <c r="G6" s="2">
        <v>1250</v>
      </c>
      <c r="H6" s="2">
        <f t="shared" si="0"/>
        <v>850</v>
      </c>
      <c r="K6" t="s">
        <v>8</v>
      </c>
      <c r="L6">
        <f>SUMIF(D4:D33,"North",F4:F33)</f>
        <v>46500</v>
      </c>
      <c r="M6" s="5">
        <f t="shared" ref="M6" si="1">SUMIF(D4:D33,"North",H4:H33)</f>
        <v>16800</v>
      </c>
      <c r="N6" s="5" cm="1">
        <f t="array" ref="N6">COUNTA(_xlfn.UNIQUE(_xlfn._xlws.FILTER(C4:C33,D4:D33="North")))</f>
        <v>6</v>
      </c>
      <c r="O6" s="8">
        <f>L6/SUM(L6:L9)</f>
        <v>0.26065022421524664</v>
      </c>
    </row>
    <row r="7" spans="1:15" x14ac:dyDescent="0.3">
      <c r="A7" t="s">
        <v>21</v>
      </c>
      <c r="B7" s="1">
        <v>46269</v>
      </c>
      <c r="C7" t="s">
        <v>22</v>
      </c>
      <c r="D7" t="s">
        <v>5</v>
      </c>
      <c r="E7" t="s">
        <v>9</v>
      </c>
      <c r="F7" s="2">
        <v>6400</v>
      </c>
      <c r="G7" s="2">
        <v>4100</v>
      </c>
      <c r="H7" s="2">
        <f t="shared" si="0"/>
        <v>2300</v>
      </c>
      <c r="K7" t="s">
        <v>7</v>
      </c>
      <c r="L7">
        <f>SUMIF(D4:D33,"South",F4:F33)</f>
        <v>55100</v>
      </c>
      <c r="M7" s="5">
        <f>SUMIF(D4:D33,"South",H4:H33)</f>
        <v>19600</v>
      </c>
      <c r="N7" s="5" cm="1">
        <f t="array" ref="N7">COUNTA(_xlfn.UNIQUE(_xlfn._xlws.FILTER(C4:C33,D4:D33="South")))</f>
        <v>5</v>
      </c>
      <c r="O7" s="8">
        <f>L7/SUM(L6:L9)</f>
        <v>0.30885650224215244</v>
      </c>
    </row>
    <row r="8" spans="1:15" x14ac:dyDescent="0.3">
      <c r="A8" t="s">
        <v>23</v>
      </c>
      <c r="B8" s="1">
        <v>46270</v>
      </c>
      <c r="C8" t="s">
        <v>24</v>
      </c>
      <c r="D8" t="s">
        <v>8</v>
      </c>
      <c r="E8" t="s">
        <v>6</v>
      </c>
      <c r="F8" s="2">
        <v>9200</v>
      </c>
      <c r="G8" s="2">
        <v>6100</v>
      </c>
      <c r="H8" s="2">
        <f t="shared" si="0"/>
        <v>3100</v>
      </c>
      <c r="K8" t="s">
        <v>11</v>
      </c>
      <c r="L8">
        <f>SUMIF(D4:D33,"East",F4:F33)</f>
        <v>38900</v>
      </c>
      <c r="M8" s="5">
        <f>SUMIF(D4:D33,"East",H4:H33)</f>
        <v>14200</v>
      </c>
      <c r="N8" s="5" cm="1">
        <f t="array" ref="N8">COUNTA(_xlfn.UNIQUE(_xlfn._xlws.FILTER(C4:C33,D4:D33="East")))</f>
        <v>5</v>
      </c>
      <c r="O8" s="8">
        <f>L8/SUM(L6:L9)</f>
        <v>0.21804932735426008</v>
      </c>
    </row>
    <row r="9" spans="1:15" x14ac:dyDescent="0.3">
      <c r="A9" t="s">
        <v>25</v>
      </c>
      <c r="B9" s="1">
        <v>46271</v>
      </c>
      <c r="C9" t="s">
        <v>26</v>
      </c>
      <c r="D9" t="s">
        <v>7</v>
      </c>
      <c r="E9" t="s">
        <v>9</v>
      </c>
      <c r="F9" s="2">
        <v>4800</v>
      </c>
      <c r="G9" s="2">
        <v>3000</v>
      </c>
      <c r="H9" s="2">
        <f t="shared" si="0"/>
        <v>1800</v>
      </c>
      <c r="K9" t="s">
        <v>5</v>
      </c>
      <c r="L9">
        <f>SUMIF(D4:D33,"West",F4:F33)</f>
        <v>37900</v>
      </c>
      <c r="M9" s="5">
        <f>SUMIF(D4:D33,"West",H4:H33)</f>
        <v>13700</v>
      </c>
      <c r="N9" s="5" cm="1">
        <f t="array" ref="N9">COUNTA(_xlfn.UNIQUE(_xlfn._xlws.FILTER(C4:C33,D4:D33="West")))</f>
        <v>4</v>
      </c>
      <c r="O9" s="8">
        <f>L9/SUM(L6:L9)</f>
        <v>0.21244394618834081</v>
      </c>
    </row>
    <row r="10" spans="1:15" x14ac:dyDescent="0.3">
      <c r="A10" t="s">
        <v>27</v>
      </c>
      <c r="B10" s="1">
        <v>46272</v>
      </c>
      <c r="C10" t="s">
        <v>16</v>
      </c>
      <c r="D10" t="s">
        <v>11</v>
      </c>
      <c r="E10" t="s">
        <v>6</v>
      </c>
      <c r="F10" s="2">
        <v>5600</v>
      </c>
      <c r="G10" s="2">
        <v>3700</v>
      </c>
      <c r="H10" s="2">
        <f t="shared" si="0"/>
        <v>1900</v>
      </c>
    </row>
    <row r="11" spans="1:15" x14ac:dyDescent="0.3">
      <c r="A11" t="s">
        <v>28</v>
      </c>
      <c r="B11" s="1">
        <v>46273</v>
      </c>
      <c r="C11" t="s">
        <v>29</v>
      </c>
      <c r="D11" t="s">
        <v>5</v>
      </c>
      <c r="E11" t="s">
        <v>10</v>
      </c>
      <c r="F11" s="2">
        <v>1800</v>
      </c>
      <c r="G11" s="2">
        <v>1050</v>
      </c>
      <c r="H11" s="2">
        <f t="shared" si="0"/>
        <v>750</v>
      </c>
    </row>
    <row r="12" spans="1:15" x14ac:dyDescent="0.3">
      <c r="A12" t="s">
        <v>30</v>
      </c>
      <c r="B12" s="1">
        <v>46274</v>
      </c>
      <c r="C12" t="s">
        <v>31</v>
      </c>
      <c r="D12" t="s">
        <v>8</v>
      </c>
      <c r="E12" t="s">
        <v>9</v>
      </c>
      <c r="F12" s="2">
        <v>7300</v>
      </c>
      <c r="G12" s="2">
        <v>4700</v>
      </c>
      <c r="H12" s="2">
        <f t="shared" si="0"/>
        <v>2600</v>
      </c>
      <c r="K12" s="4" t="s">
        <v>61</v>
      </c>
      <c r="L12" s="4" t="s">
        <v>62</v>
      </c>
    </row>
    <row r="13" spans="1:15" x14ac:dyDescent="0.3">
      <c r="A13" t="s">
        <v>32</v>
      </c>
      <c r="B13" s="1">
        <v>46275</v>
      </c>
      <c r="C13" t="s">
        <v>18</v>
      </c>
      <c r="D13" t="s">
        <v>7</v>
      </c>
      <c r="E13" t="s">
        <v>10</v>
      </c>
      <c r="F13" s="2">
        <v>2500</v>
      </c>
      <c r="G13" s="2">
        <v>1450</v>
      </c>
      <c r="H13" s="2">
        <f t="shared" si="0"/>
        <v>1050</v>
      </c>
      <c r="K13" t="s">
        <v>63</v>
      </c>
      <c r="L13" t="str">
        <f t="shared" ref="L13" si="2">_xlfn.XLOOKUP(MAX(L6:L9),L6:L9,K6:K9)</f>
        <v>South</v>
      </c>
    </row>
    <row r="14" spans="1:15" x14ac:dyDescent="0.3">
      <c r="A14" t="s">
        <v>33</v>
      </c>
      <c r="B14" s="1">
        <v>46276</v>
      </c>
      <c r="C14" t="s">
        <v>34</v>
      </c>
      <c r="D14" t="s">
        <v>11</v>
      </c>
      <c r="E14" t="s">
        <v>9</v>
      </c>
      <c r="F14" s="2">
        <v>8600</v>
      </c>
      <c r="G14" s="2">
        <v>5600</v>
      </c>
      <c r="H14" s="2">
        <f t="shared" si="0"/>
        <v>3000</v>
      </c>
      <c r="K14" t="s">
        <v>64</v>
      </c>
      <c r="L14" t="str">
        <f>_xlfn.XLOOKUP(MIN(L6:L9),L6:L9,K6:K9)</f>
        <v>West</v>
      </c>
      <c r="O14"/>
    </row>
    <row r="15" spans="1:15" x14ac:dyDescent="0.3">
      <c r="A15" t="s">
        <v>35</v>
      </c>
      <c r="B15" s="1">
        <v>46277</v>
      </c>
      <c r="C15" t="s">
        <v>36</v>
      </c>
      <c r="D15" t="s">
        <v>5</v>
      </c>
      <c r="E15" t="s">
        <v>6</v>
      </c>
      <c r="F15" s="2">
        <v>6900</v>
      </c>
      <c r="G15" s="2">
        <v>4500</v>
      </c>
      <c r="H15" s="2">
        <f t="shared" si="0"/>
        <v>2400</v>
      </c>
      <c r="K15" t="s">
        <v>65</v>
      </c>
      <c r="L15" t="str">
        <f>_xlfn.XLOOKUP(MAX(M6:M9),M6:M9,K6:K9)</f>
        <v>South</v>
      </c>
      <c r="O15"/>
    </row>
    <row r="16" spans="1:15" x14ac:dyDescent="0.3">
      <c r="A16" t="s">
        <v>37</v>
      </c>
      <c r="B16" s="1">
        <v>46278</v>
      </c>
      <c r="C16" t="s">
        <v>20</v>
      </c>
      <c r="D16" t="s">
        <v>8</v>
      </c>
      <c r="E16" t="s">
        <v>10</v>
      </c>
      <c r="F16" s="2">
        <v>3200</v>
      </c>
      <c r="G16" s="2">
        <v>1900</v>
      </c>
      <c r="H16" s="2">
        <f t="shared" si="0"/>
        <v>1300</v>
      </c>
      <c r="K16" t="s">
        <v>66</v>
      </c>
      <c r="L16" t="str">
        <f>_xlfn.XLOOKUP(MIN(M6:M9),M6:M9,K6:K9)</f>
        <v>West</v>
      </c>
      <c r="O16"/>
    </row>
    <row r="17" spans="1:15" x14ac:dyDescent="0.3">
      <c r="A17" t="s">
        <v>38</v>
      </c>
      <c r="B17" s="1">
        <v>46279</v>
      </c>
      <c r="C17" t="s">
        <v>39</v>
      </c>
      <c r="D17" t="s">
        <v>7</v>
      </c>
      <c r="E17" t="s">
        <v>6</v>
      </c>
      <c r="F17" s="2">
        <v>8400</v>
      </c>
      <c r="G17" s="2">
        <v>5500</v>
      </c>
      <c r="H17" s="2">
        <f t="shared" si="0"/>
        <v>2900</v>
      </c>
      <c r="O17"/>
    </row>
    <row r="18" spans="1:15" x14ac:dyDescent="0.3">
      <c r="A18" t="s">
        <v>40</v>
      </c>
      <c r="B18" s="1">
        <v>46280</v>
      </c>
      <c r="C18" t="s">
        <v>41</v>
      </c>
      <c r="D18" t="s">
        <v>11</v>
      </c>
      <c r="E18" t="s">
        <v>10</v>
      </c>
      <c r="F18" s="2">
        <v>2700</v>
      </c>
      <c r="G18" s="2">
        <v>1550</v>
      </c>
      <c r="H18" s="2">
        <f t="shared" si="0"/>
        <v>1150</v>
      </c>
      <c r="O18"/>
    </row>
    <row r="19" spans="1:15" x14ac:dyDescent="0.3">
      <c r="A19" t="s">
        <v>42</v>
      </c>
      <c r="B19" s="1">
        <v>46281</v>
      </c>
      <c r="C19" t="s">
        <v>22</v>
      </c>
      <c r="D19" t="s">
        <v>5</v>
      </c>
      <c r="E19" t="s">
        <v>9</v>
      </c>
      <c r="F19" s="2">
        <v>9100</v>
      </c>
      <c r="G19" s="2">
        <v>5900</v>
      </c>
      <c r="H19" s="2">
        <f t="shared" si="0"/>
        <v>3200</v>
      </c>
    </row>
    <row r="20" spans="1:15" x14ac:dyDescent="0.3">
      <c r="A20" t="s">
        <v>43</v>
      </c>
      <c r="B20" s="1">
        <v>46282</v>
      </c>
      <c r="C20" t="s">
        <v>24</v>
      </c>
      <c r="D20" t="s">
        <v>8</v>
      </c>
      <c r="E20" t="s">
        <v>9</v>
      </c>
      <c r="F20" s="2">
        <v>4500</v>
      </c>
      <c r="G20" s="2">
        <v>2850</v>
      </c>
      <c r="H20" s="2">
        <f t="shared" si="0"/>
        <v>1650</v>
      </c>
    </row>
    <row r="21" spans="1:15" x14ac:dyDescent="0.3">
      <c r="A21" t="s">
        <v>44</v>
      </c>
      <c r="B21" s="1">
        <v>46283</v>
      </c>
      <c r="C21" t="s">
        <v>26</v>
      </c>
      <c r="D21" t="s">
        <v>7</v>
      </c>
      <c r="E21" t="s">
        <v>6</v>
      </c>
      <c r="F21" s="2">
        <v>7600</v>
      </c>
      <c r="G21" s="2">
        <v>4950</v>
      </c>
      <c r="H21" s="2">
        <f t="shared" si="0"/>
        <v>2650</v>
      </c>
    </row>
    <row r="22" spans="1:15" x14ac:dyDescent="0.3">
      <c r="A22" t="s">
        <v>45</v>
      </c>
      <c r="B22" s="1">
        <v>46284</v>
      </c>
      <c r="C22" t="s">
        <v>46</v>
      </c>
      <c r="D22" t="s">
        <v>11</v>
      </c>
      <c r="E22" t="s">
        <v>9</v>
      </c>
      <c r="F22" s="2">
        <v>6800</v>
      </c>
      <c r="G22" s="2">
        <v>4300</v>
      </c>
      <c r="H22" s="2">
        <f t="shared" si="0"/>
        <v>2500</v>
      </c>
    </row>
    <row r="23" spans="1:15" x14ac:dyDescent="0.3">
      <c r="A23" t="s">
        <v>47</v>
      </c>
      <c r="B23" s="1">
        <v>46285</v>
      </c>
      <c r="C23" t="s">
        <v>48</v>
      </c>
      <c r="D23" t="s">
        <v>5</v>
      </c>
      <c r="E23" t="s">
        <v>10</v>
      </c>
      <c r="F23" s="2">
        <v>2300</v>
      </c>
      <c r="G23" s="2">
        <v>1350</v>
      </c>
      <c r="H23" s="2">
        <f t="shared" si="0"/>
        <v>950</v>
      </c>
    </row>
    <row r="24" spans="1:15" x14ac:dyDescent="0.3">
      <c r="A24" t="s">
        <v>49</v>
      </c>
      <c r="B24" s="1">
        <v>46286</v>
      </c>
      <c r="C24" t="s">
        <v>29</v>
      </c>
      <c r="D24" t="s">
        <v>8</v>
      </c>
      <c r="E24" t="s">
        <v>6</v>
      </c>
      <c r="F24" s="2">
        <v>8100</v>
      </c>
      <c r="G24" s="2">
        <v>5250</v>
      </c>
      <c r="H24" s="2">
        <f t="shared" si="0"/>
        <v>2850</v>
      </c>
    </row>
    <row r="25" spans="1:15" x14ac:dyDescent="0.3">
      <c r="A25" t="s">
        <v>50</v>
      </c>
      <c r="B25" s="1">
        <v>46287</v>
      </c>
      <c r="C25" t="s">
        <v>31</v>
      </c>
      <c r="D25" t="s">
        <v>7</v>
      </c>
      <c r="E25" t="s">
        <v>9</v>
      </c>
      <c r="F25" s="2">
        <v>5900</v>
      </c>
      <c r="G25" s="2">
        <v>3800</v>
      </c>
      <c r="H25" s="2">
        <f t="shared" si="0"/>
        <v>2100</v>
      </c>
    </row>
    <row r="26" spans="1:15" x14ac:dyDescent="0.3">
      <c r="A26" t="s">
        <v>51</v>
      </c>
      <c r="B26" s="1">
        <v>46288</v>
      </c>
      <c r="C26" t="s">
        <v>34</v>
      </c>
      <c r="D26" t="s">
        <v>11</v>
      </c>
      <c r="E26" t="s">
        <v>6</v>
      </c>
      <c r="F26" s="2">
        <v>9700</v>
      </c>
      <c r="G26" s="2">
        <v>6300</v>
      </c>
      <c r="H26" s="2">
        <f t="shared" si="0"/>
        <v>3400</v>
      </c>
    </row>
    <row r="27" spans="1:15" x14ac:dyDescent="0.3">
      <c r="A27" t="s">
        <v>52</v>
      </c>
      <c r="B27" s="1">
        <v>46289</v>
      </c>
      <c r="C27" t="s">
        <v>36</v>
      </c>
      <c r="D27" t="s">
        <v>5</v>
      </c>
      <c r="E27" t="s">
        <v>9</v>
      </c>
      <c r="F27" s="2">
        <v>4200</v>
      </c>
      <c r="G27" s="2">
        <v>2650</v>
      </c>
      <c r="H27" s="2">
        <f t="shared" si="0"/>
        <v>1550</v>
      </c>
    </row>
    <row r="28" spans="1:15" x14ac:dyDescent="0.3">
      <c r="A28" t="s">
        <v>53</v>
      </c>
      <c r="B28" s="1">
        <v>46290</v>
      </c>
      <c r="C28" t="s">
        <v>39</v>
      </c>
      <c r="D28" t="s">
        <v>8</v>
      </c>
      <c r="E28" t="s">
        <v>10</v>
      </c>
      <c r="F28" s="2">
        <v>2900</v>
      </c>
      <c r="G28" s="2">
        <v>1700</v>
      </c>
      <c r="H28" s="2">
        <f t="shared" si="0"/>
        <v>1200</v>
      </c>
    </row>
    <row r="29" spans="1:15" x14ac:dyDescent="0.3">
      <c r="A29" t="s">
        <v>54</v>
      </c>
      <c r="B29" s="1">
        <v>46291</v>
      </c>
      <c r="C29" t="s">
        <v>41</v>
      </c>
      <c r="D29" t="s">
        <v>7</v>
      </c>
      <c r="E29" t="s">
        <v>9</v>
      </c>
      <c r="F29" s="2">
        <v>8800</v>
      </c>
      <c r="G29" s="2">
        <v>5700</v>
      </c>
      <c r="H29" s="2">
        <f t="shared" si="0"/>
        <v>3100</v>
      </c>
    </row>
    <row r="30" spans="1:15" x14ac:dyDescent="0.3">
      <c r="A30" t="s">
        <v>55</v>
      </c>
      <c r="B30" s="1">
        <v>46292</v>
      </c>
      <c r="C30" t="s">
        <v>46</v>
      </c>
      <c r="D30" t="s">
        <v>11</v>
      </c>
      <c r="E30" t="s">
        <v>10</v>
      </c>
      <c r="F30" s="2">
        <v>3400</v>
      </c>
      <c r="G30" s="2">
        <v>2000</v>
      </c>
      <c r="H30" s="2">
        <f t="shared" si="0"/>
        <v>1400</v>
      </c>
    </row>
    <row r="31" spans="1:15" x14ac:dyDescent="0.3">
      <c r="A31" t="s">
        <v>56</v>
      </c>
      <c r="B31" s="1">
        <v>46293</v>
      </c>
      <c r="C31" t="s">
        <v>48</v>
      </c>
      <c r="D31" t="s">
        <v>5</v>
      </c>
      <c r="E31" t="s">
        <v>6</v>
      </c>
      <c r="F31" s="2">
        <v>7200</v>
      </c>
      <c r="G31" s="2">
        <v>4650</v>
      </c>
      <c r="H31" s="2">
        <f t="shared" si="0"/>
        <v>2550</v>
      </c>
    </row>
    <row r="32" spans="1:15" x14ac:dyDescent="0.3">
      <c r="A32" t="s">
        <v>57</v>
      </c>
      <c r="B32" s="1">
        <v>46294</v>
      </c>
      <c r="C32" t="s">
        <v>16</v>
      </c>
      <c r="D32" t="s">
        <v>8</v>
      </c>
      <c r="E32" t="s">
        <v>9</v>
      </c>
      <c r="F32" s="2">
        <v>6100</v>
      </c>
      <c r="G32" s="2">
        <v>3900</v>
      </c>
      <c r="H32" s="2">
        <f t="shared" si="0"/>
        <v>2200</v>
      </c>
    </row>
    <row r="33" spans="1:8" x14ac:dyDescent="0.3">
      <c r="A33" t="s">
        <v>58</v>
      </c>
      <c r="B33" s="1">
        <v>46295</v>
      </c>
      <c r="C33" t="s">
        <v>18</v>
      </c>
      <c r="D33" t="s">
        <v>7</v>
      </c>
      <c r="E33" t="s">
        <v>6</v>
      </c>
      <c r="F33" s="2">
        <v>9300</v>
      </c>
      <c r="G33" s="2">
        <v>6000</v>
      </c>
      <c r="H33" s="2">
        <f t="shared" si="0"/>
        <v>3300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2026-09-28T13:32:58Z</dcterms:modified>
</cp:coreProperties>
</file>