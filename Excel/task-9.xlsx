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Namrata\Desktop\Internship task\Excel\"/>
    </mc:Choice>
  </mc:AlternateContent>
  <xr:revisionPtr revIDLastSave="0" documentId="13_ncr:1_{DD839D91-B848-47F5-93A9-C82242DD73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1" l="1"/>
  <c r="N9" i="1"/>
  <c r="L9" i="1"/>
  <c r="L8" i="1"/>
  <c r="L7" i="1"/>
  <c r="K9" i="1"/>
  <c r="M9" i="1" s="1"/>
  <c r="K8" i="1"/>
  <c r="M8" i="1" s="1"/>
  <c r="K7" i="1"/>
  <c r="M7" i="1" s="1"/>
</calcChain>
</file>

<file path=xl/sharedStrings.xml><?xml version="1.0" encoding="utf-8"?>
<sst xmlns="http://schemas.openxmlformats.org/spreadsheetml/2006/main" count="106" uniqueCount="63">
  <si>
    <t>Order ID</t>
  </si>
  <si>
    <t>Order Date</t>
  </si>
  <si>
    <t>Customer ID</t>
  </si>
  <si>
    <t>Category</t>
  </si>
  <si>
    <t>Quantity</t>
  </si>
  <si>
    <t>Unit Price</t>
  </si>
  <si>
    <t>Sales</t>
  </si>
  <si>
    <t>ORD001</t>
  </si>
  <si>
    <t>C001</t>
  </si>
  <si>
    <t>Technology</t>
  </si>
  <si>
    <t>ORD002</t>
  </si>
  <si>
    <t>C002</t>
  </si>
  <si>
    <t>Furniture</t>
  </si>
  <si>
    <t>ORD003</t>
  </si>
  <si>
    <t>C003</t>
  </si>
  <si>
    <t>ORD004</t>
  </si>
  <si>
    <t>C004</t>
  </si>
  <si>
    <t>Office Supplies</t>
  </si>
  <si>
    <t>ORD005</t>
  </si>
  <si>
    <t>C005</t>
  </si>
  <si>
    <t>ORD006</t>
  </si>
  <si>
    <t>C006</t>
  </si>
  <si>
    <t>ORD007</t>
  </si>
  <si>
    <t>ORD008</t>
  </si>
  <si>
    <t>C007</t>
  </si>
  <si>
    <t>ORD009</t>
  </si>
  <si>
    <t>C008</t>
  </si>
  <si>
    <t>ORD010</t>
  </si>
  <si>
    <t>C009</t>
  </si>
  <si>
    <t>ORD011</t>
  </si>
  <si>
    <t>ORD012</t>
  </si>
  <si>
    <t>C010</t>
  </si>
  <si>
    <t>ORD013</t>
  </si>
  <si>
    <t>ORD014</t>
  </si>
  <si>
    <t>C011</t>
  </si>
  <si>
    <t>ORD015</t>
  </si>
  <si>
    <t>C012</t>
  </si>
  <si>
    <t>ORD016</t>
  </si>
  <si>
    <t>ORD017</t>
  </si>
  <si>
    <t>ORD018</t>
  </si>
  <si>
    <t>ORD019</t>
  </si>
  <si>
    <t>C013</t>
  </si>
  <si>
    <t>ORD020</t>
  </si>
  <si>
    <t>C014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</si>
  <si>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</si>
  <si>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</si>
  <si>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</si>
  <si>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</si>
  <si>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</si>
  <si>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</si>
  <si>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</si>
  <si>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</si>
  <si>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</si>
  <si>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</si>
  <si>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Month</t>
  </si>
  <si>
    <t>Total Sales</t>
  </si>
  <si>
    <t>July</t>
  </si>
  <si>
    <t>August</t>
  </si>
  <si>
    <t>September</t>
  </si>
  <si>
    <t>Total Orders</t>
  </si>
  <si>
    <t>Average order value</t>
  </si>
  <si>
    <t>Month-over-Month Growth</t>
  </si>
  <si>
    <t xml:space="preserve"> 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</si>
</sst>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9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  <xf numFmtId="169" fontId="0" fillId="0" borderId="0" xfId="0" applyNumberFormat="1"/>
    <xf numFmtId="169" fontId="0" fillId="0" borderId="0" xfId="0" applyNumberFormat="1" applyAlignment="1">
      <alignment horizontal="center"/>
    </xf>
    <xf numFmtId="169" fontId="0" fillId="0" borderId="0" xfId="0" applyNumberFormat="1" applyAlignment="1"/>
    <xf numFmtId="10" fontId="0" fillId="0" borderId="0" xfId="1" applyNumberFormat="1" applyFont="1"/>
    <xf numFmtId="10" fontId="0" fillId="0" borderId="0" xfId="1" applyNumberFormat="1" applyFont="1" applyAlignment="1">
      <alignment horizontal="center"/>
    </xf>
    <xf numFmtId="10" fontId="0" fillId="2" borderId="1" xfId="1" applyNumberFormat="1" applyFont="1" applyFill="1" applyBorder="1"/>
  </cellXfs>
  <cellStyles count="2">
    <cellStyle name="Normal" xfId="0" builtinId="0"/>
    <cellStyle name="Percent" xfId="1" builtinId="5"/>
  </cellStyles>
  <dxfs count="9">
    <dxf>
      <numFmt numFmtId="14" formatCode="0.00%"/>
    </dxf>
    <dxf>
      <numFmt numFmtId="169" formatCode="_ [$₹-4009]\ * #,##0.00_ ;_ [$₹-4009]\ * \-#,##0.00_ ;_ [$₹-4009]\ * &quot;-&quot;??_ ;_ @_ 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164" formatCode="dd\-mm\-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253D96-46C8-460D-A98A-351590C3DBF9}" name="Table2" displayName="Table2" ref="A3:G33" totalsRowShown="0" headerRowDxfId="5">
  <tableColumns count="7">
    <tableColumn id="1" xr3:uid="{6D31B444-8C8A-4230-BD96-2FE29FF31783}" name="Order ID"/>
    <tableColumn id="2" xr3:uid="{57FE0767-93D2-4EFA-8151-42910275386A}" name="Order Date" dataDxfId="8"/>
    <tableColumn id="3" xr3:uid="{60C70B98-F72B-4864-BA30-86961228979B}" name="Customer ID"/>
    <tableColumn id="4" xr3:uid="{207A70C7-A647-484A-AD11-9D77D7F4765B}" name="Category"/>
    <tableColumn id="5" xr3:uid="{2FFAE242-CFE7-49B9-9683-9A3D3DF9077C}" name="Quantity"/>
    <tableColumn id="6" xr3:uid="{C2807D4B-A097-4F4D-A30B-72E5885C9997}" name="Unit Price" dataDxfId="7"/>
    <tableColumn id="7" xr3:uid="{7AE1030C-A96C-4768-A8D3-2AB7BA091425}" name="Sales" dataDxfId="6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931573-742F-4E81-8F7B-B4BD1EC62303}" name="Table4" displayName="Table4" ref="J6:N9" totalsRowShown="0" headerRowDxfId="4">
  <tableColumns count="5">
    <tableColumn id="1" xr3:uid="{5EB0FA5F-9639-4BE1-A1F1-AF543118B349}" name="Month"/>
    <tableColumn id="2" xr3:uid="{6CA2B6B9-E1A6-4C99-AA2E-E82C6B5B3153}" name="Total Sales" dataDxfId="3">
      <calculatedColumnFormula>SUMIFS(G4:G33,B4:B33,"&gt;="&amp;DATE(2026,7,1),B4:B33,"&lt;="&amp;DATE(2026,7,31))</calculatedColumnFormula>
    </tableColumn>
    <tableColumn id="3" xr3:uid="{BF1EC45E-F08A-4604-96EA-B3C96AEDED6B}" name="Total Orders" dataDxfId="2">
      <calculatedColumnFormula>COUNTIFS(B4:B33,"&gt;="&amp;DATE(2026,7,1),B4:B33,"&lt;="&amp;DATE(2026,7,31))</calculatedColumnFormula>
    </tableColumn>
    <tableColumn id="4" xr3:uid="{7050DD7E-6403-4601-B161-A4E1385F624D}" name="Average order value" dataDxfId="1">
      <calculatedColumnFormula>K7/L7</calculatedColumnFormula>
    </tableColumn>
    <tableColumn id="6" xr3:uid="{0B4D2648-5387-42B6-A0A9-BD51A3460878}" name="Month-over-Month Growth" dataDxfId="0" dataCellStyle="Percent">
      <calculatedColumnFormula>(K7-K6)/K6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33"/>
  <sheetViews>
    <sheetView tabSelected="1" zoomScale="71" workbookViewId="0">
      <selection activeCell="N19" sqref="N19"/>
    </sheetView>
  </sheetViews>
  <sheetFormatPr defaultRowHeight="14.4" x14ac:dyDescent="0.3"/>
  <cols>
    <col min="1" max="1" width="9.88671875" customWidth="1"/>
    <col min="2" max="2" width="16.6640625" customWidth="1"/>
    <col min="3" max="3" width="13.21875" customWidth="1"/>
    <col min="4" max="4" width="10.44140625" customWidth="1"/>
    <col min="5" max="5" width="10.21875" customWidth="1"/>
    <col min="6" max="6" width="11" customWidth="1"/>
    <col min="10" max="10" width="14.21875" customWidth="1"/>
    <col min="11" max="11" width="15.44140625" customWidth="1"/>
    <col min="12" max="12" width="18.5546875" customWidth="1"/>
    <col min="13" max="13" width="26.21875" style="5" customWidth="1"/>
    <col min="14" max="14" width="32.109375" style="8" customWidth="1"/>
  </cols>
  <sheetData>
    <row r="3" spans="1:14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14" x14ac:dyDescent="0.3">
      <c r="A4" t="s">
        <v>7</v>
      </c>
      <c r="B4" s="1">
        <v>46204</v>
      </c>
      <c r="C4" t="s">
        <v>8</v>
      </c>
      <c r="D4" t="s">
        <v>9</v>
      </c>
      <c r="E4">
        <v>2</v>
      </c>
      <c r="F4" s="2">
        <v>850</v>
      </c>
      <c r="G4" s="2">
        <v>1700</v>
      </c>
    </row>
    <row r="5" spans="1:14" x14ac:dyDescent="0.3">
      <c r="A5" t="s">
        <v>10</v>
      </c>
      <c r="B5" s="1">
        <v>46206</v>
      </c>
      <c r="C5" t="s">
        <v>11</v>
      </c>
      <c r="D5" t="s">
        <v>12</v>
      </c>
      <c r="E5">
        <v>1</v>
      </c>
      <c r="F5" s="2">
        <v>6500</v>
      </c>
      <c r="G5" s="2">
        <v>6500</v>
      </c>
    </row>
    <row r="6" spans="1:14" x14ac:dyDescent="0.3">
      <c r="A6" t="s">
        <v>13</v>
      </c>
      <c r="B6" s="1">
        <v>46208</v>
      </c>
      <c r="C6" t="s">
        <v>14</v>
      </c>
      <c r="D6" t="s">
        <v>9</v>
      </c>
      <c r="E6">
        <v>3</v>
      </c>
      <c r="F6" s="2">
        <v>1250</v>
      </c>
      <c r="G6" s="2">
        <v>3750</v>
      </c>
      <c r="J6" s="3" t="s">
        <v>54</v>
      </c>
      <c r="K6" s="3" t="s">
        <v>55</v>
      </c>
      <c r="L6" s="3" t="s">
        <v>59</v>
      </c>
      <c r="M6" s="6" t="s">
        <v>60</v>
      </c>
      <c r="N6" s="9" t="s">
        <v>61</v>
      </c>
    </row>
    <row r="7" spans="1:14" x14ac:dyDescent="0.3">
      <c r="A7" t="s">
        <v>15</v>
      </c>
      <c r="B7" s="1">
        <v>46210</v>
      </c>
      <c r="C7" t="s">
        <v>16</v>
      </c>
      <c r="D7" t="s">
        <v>17</v>
      </c>
      <c r="E7">
        <v>4</v>
      </c>
      <c r="F7" s="2">
        <v>450</v>
      </c>
      <c r="G7" s="2">
        <v>1800</v>
      </c>
      <c r="J7" t="s">
        <v>56</v>
      </c>
      <c r="K7">
        <f t="shared" ref="K7" si="0">SUMIFS(G4:G33,B4:B33,"&gt;="&amp;DATE(2026,7,1),B4:B33,"&lt;="&amp;DATE(2026,7,31))</f>
        <v>35800</v>
      </c>
      <c r="L7" s="4">
        <f t="shared" ref="L7" si="1">COUNTIFS(B4:B33,"&gt;="&amp;DATE(2026,7,1),B4:B33,"&lt;="&amp;DATE(2026,7,31))</f>
        <v>10</v>
      </c>
      <c r="M7" s="7">
        <f t="shared" ref="M7:M9" si="2">K7/L7</f>
        <v>3580</v>
      </c>
      <c r="N7" s="9" t="s">
        <v>62</v>
      </c>
    </row>
    <row r="8" spans="1:14" x14ac:dyDescent="0.3">
      <c r="A8" t="s">
        <v>18</v>
      </c>
      <c r="B8" s="1">
        <v>46213</v>
      </c>
      <c r="C8" t="s">
        <v>19</v>
      </c>
      <c r="D8" t="s">
        <v>12</v>
      </c>
      <c r="E8">
        <v>1</v>
      </c>
      <c r="F8" s="2">
        <v>2100</v>
      </c>
      <c r="G8" s="2">
        <v>2100</v>
      </c>
      <c r="J8" t="s">
        <v>57</v>
      </c>
      <c r="K8">
        <f>SUMIFS(G4:G33,B4:B33,"&gt;="&amp;DATE(2026,8,1),B4:B33,"&lt;="&amp;DATE(2026,8,31))</f>
        <v>45990</v>
      </c>
      <c r="L8" s="4">
        <f>COUNTIFS(B4:B33,"&gt;="&amp;DATE(2026,8,1),B4:B33,"&lt;="&amp;DATE(2026,8,31))</f>
        <v>10</v>
      </c>
      <c r="M8" s="5">
        <f t="shared" si="2"/>
        <v>4599</v>
      </c>
      <c r="N8" s="8">
        <f t="shared" ref="N7:N9" si="3">(K8-K7)/K7</f>
        <v>0.28463687150837991</v>
      </c>
    </row>
    <row r="9" spans="1:14" x14ac:dyDescent="0.3">
      <c r="A9" t="s">
        <v>20</v>
      </c>
      <c r="B9" s="1">
        <v>46215</v>
      </c>
      <c r="C9" t="s">
        <v>21</v>
      </c>
      <c r="D9" t="s">
        <v>9</v>
      </c>
      <c r="E9">
        <v>2</v>
      </c>
      <c r="F9" s="2">
        <v>1800</v>
      </c>
      <c r="G9" s="2">
        <v>3600</v>
      </c>
      <c r="J9" t="s">
        <v>58</v>
      </c>
      <c r="K9">
        <f>SUMIFS(G4:G33,B4:B33,"&gt;="&amp;DATE(2026,9,1),B4:B33,"&lt;="&amp;DATE(2026,9,30))</f>
        <v>54620</v>
      </c>
      <c r="L9" s="4">
        <f>COUNTIFS(B4:B33,"&gt;="&amp;DATE(2026,9,1),B4:B33,"&lt;="&amp;DATE(2026,9,30))</f>
        <v>10</v>
      </c>
      <c r="M9" s="5">
        <f t="shared" si="2"/>
        <v>5462</v>
      </c>
      <c r="N9" s="8">
        <f t="shared" si="3"/>
        <v>0.18764948901935202</v>
      </c>
    </row>
    <row r="10" spans="1:14" x14ac:dyDescent="0.3">
      <c r="A10" t="s">
        <v>22</v>
      </c>
      <c r="B10" s="1">
        <v>46218</v>
      </c>
      <c r="C10" t="s">
        <v>8</v>
      </c>
      <c r="D10" t="s">
        <v>17</v>
      </c>
      <c r="E10">
        <v>3</v>
      </c>
      <c r="F10" s="2">
        <v>1250</v>
      </c>
      <c r="G10" s="2">
        <v>3750</v>
      </c>
    </row>
    <row r="11" spans="1:14" x14ac:dyDescent="0.3">
      <c r="A11" t="s">
        <v>23</v>
      </c>
      <c r="B11" s="1">
        <v>46221</v>
      </c>
      <c r="C11" t="s">
        <v>24</v>
      </c>
      <c r="D11" t="s">
        <v>9</v>
      </c>
      <c r="E11">
        <v>1</v>
      </c>
      <c r="F11" s="2">
        <v>6200</v>
      </c>
      <c r="G11" s="2">
        <v>6200</v>
      </c>
    </row>
    <row r="12" spans="1:14" x14ac:dyDescent="0.3">
      <c r="A12" t="s">
        <v>25</v>
      </c>
      <c r="B12" s="1">
        <v>46224</v>
      </c>
      <c r="C12" t="s">
        <v>26</v>
      </c>
      <c r="D12" t="s">
        <v>12</v>
      </c>
      <c r="E12">
        <v>2</v>
      </c>
      <c r="F12" s="2">
        <v>2400</v>
      </c>
      <c r="G12" s="2">
        <v>4800</v>
      </c>
    </row>
    <row r="13" spans="1:14" x14ac:dyDescent="0.3">
      <c r="A13" t="s">
        <v>27</v>
      </c>
      <c r="B13" s="1">
        <v>46228</v>
      </c>
      <c r="C13" t="s">
        <v>28</v>
      </c>
      <c r="D13" t="s">
        <v>17</v>
      </c>
      <c r="E13">
        <v>5</v>
      </c>
      <c r="F13" s="2">
        <v>320</v>
      </c>
      <c r="G13" s="2">
        <v>1600</v>
      </c>
    </row>
    <row r="14" spans="1:14" x14ac:dyDescent="0.3">
      <c r="A14" t="s">
        <v>29</v>
      </c>
      <c r="B14" s="1">
        <v>46236</v>
      </c>
      <c r="C14" t="s">
        <v>11</v>
      </c>
      <c r="D14" t="s">
        <v>9</v>
      </c>
      <c r="E14">
        <v>2</v>
      </c>
      <c r="F14" s="2">
        <v>1450</v>
      </c>
      <c r="G14" s="2">
        <v>2900</v>
      </c>
    </row>
    <row r="15" spans="1:14" x14ac:dyDescent="0.3">
      <c r="A15" t="s">
        <v>30</v>
      </c>
      <c r="B15" s="1">
        <v>46238</v>
      </c>
      <c r="C15" t="s">
        <v>31</v>
      </c>
      <c r="D15" t="s">
        <v>12</v>
      </c>
      <c r="E15">
        <v>1</v>
      </c>
      <c r="F15" s="2">
        <v>7800</v>
      </c>
      <c r="G15" s="2">
        <v>7800</v>
      </c>
    </row>
    <row r="16" spans="1:14" x14ac:dyDescent="0.3">
      <c r="A16" t="s">
        <v>32</v>
      </c>
      <c r="B16" s="1">
        <v>46240</v>
      </c>
      <c r="C16" t="s">
        <v>14</v>
      </c>
      <c r="D16" t="s">
        <v>17</v>
      </c>
      <c r="E16">
        <v>4</v>
      </c>
      <c r="F16" s="2">
        <v>560</v>
      </c>
      <c r="G16" s="2">
        <v>2240</v>
      </c>
    </row>
    <row r="17" spans="1:17" x14ac:dyDescent="0.3">
      <c r="A17" t="s">
        <v>33</v>
      </c>
      <c r="B17" s="1">
        <v>46242</v>
      </c>
      <c r="C17" t="s">
        <v>34</v>
      </c>
      <c r="D17" t="s">
        <v>9</v>
      </c>
      <c r="E17">
        <v>1</v>
      </c>
      <c r="F17" s="2">
        <v>4200</v>
      </c>
      <c r="G17" s="2">
        <v>4200</v>
      </c>
    </row>
    <row r="18" spans="1:17" x14ac:dyDescent="0.3">
      <c r="A18" t="s">
        <v>35</v>
      </c>
      <c r="B18" s="1">
        <v>46245</v>
      </c>
      <c r="C18" t="s">
        <v>36</v>
      </c>
      <c r="D18" t="s">
        <v>12</v>
      </c>
      <c r="E18">
        <v>2</v>
      </c>
      <c r="F18" s="2">
        <v>3200</v>
      </c>
      <c r="G18" s="2">
        <v>6400</v>
      </c>
      <c r="Q18" s="10"/>
    </row>
    <row r="19" spans="1:17" x14ac:dyDescent="0.3">
      <c r="A19" t="s">
        <v>37</v>
      </c>
      <c r="B19" s="1">
        <v>46247</v>
      </c>
      <c r="C19" t="s">
        <v>16</v>
      </c>
      <c r="D19" t="s">
        <v>9</v>
      </c>
      <c r="E19">
        <v>3</v>
      </c>
      <c r="F19" s="2">
        <v>950</v>
      </c>
      <c r="G19" s="2">
        <v>2850</v>
      </c>
    </row>
    <row r="20" spans="1:17" x14ac:dyDescent="0.3">
      <c r="A20" t="s">
        <v>38</v>
      </c>
      <c r="B20" s="1">
        <v>46250</v>
      </c>
      <c r="C20" t="s">
        <v>19</v>
      </c>
      <c r="D20" t="s">
        <v>17</v>
      </c>
      <c r="E20">
        <v>2</v>
      </c>
      <c r="F20" s="2">
        <v>2400</v>
      </c>
      <c r="G20" s="2">
        <v>4800</v>
      </c>
    </row>
    <row r="21" spans="1:17" x14ac:dyDescent="0.3">
      <c r="A21" t="s">
        <v>39</v>
      </c>
      <c r="B21" s="1">
        <v>46253</v>
      </c>
      <c r="C21" t="s">
        <v>21</v>
      </c>
      <c r="D21" t="s">
        <v>9</v>
      </c>
      <c r="E21">
        <v>1</v>
      </c>
      <c r="F21" s="2">
        <v>6200</v>
      </c>
      <c r="G21" s="2">
        <v>6200</v>
      </c>
    </row>
    <row r="22" spans="1:17" x14ac:dyDescent="0.3">
      <c r="A22" t="s">
        <v>40</v>
      </c>
      <c r="B22" s="1">
        <v>46256</v>
      </c>
      <c r="C22" t="s">
        <v>41</v>
      </c>
      <c r="D22" t="s">
        <v>12</v>
      </c>
      <c r="E22">
        <v>1</v>
      </c>
      <c r="F22" s="2">
        <v>5900</v>
      </c>
      <c r="G22" s="2">
        <v>5900</v>
      </c>
    </row>
    <row r="23" spans="1:17" x14ac:dyDescent="0.3">
      <c r="A23" t="s">
        <v>42</v>
      </c>
      <c r="B23" s="1">
        <v>46260</v>
      </c>
      <c r="C23" t="s">
        <v>43</v>
      </c>
      <c r="D23" t="s">
        <v>17</v>
      </c>
      <c r="E23">
        <v>6</v>
      </c>
      <c r="F23" s="2">
        <v>450</v>
      </c>
      <c r="G23" s="2">
        <v>2700</v>
      </c>
    </row>
    <row r="24" spans="1:17" x14ac:dyDescent="0.3">
      <c r="A24" t="s">
        <v>44</v>
      </c>
      <c r="B24" s="1">
        <v>46266</v>
      </c>
      <c r="C24" t="s">
        <v>8</v>
      </c>
      <c r="D24" t="s">
        <v>9</v>
      </c>
      <c r="E24">
        <v>2</v>
      </c>
      <c r="F24" s="2">
        <v>1250</v>
      </c>
      <c r="G24" s="2">
        <v>2500</v>
      </c>
    </row>
    <row r="25" spans="1:17" x14ac:dyDescent="0.3">
      <c r="A25" t="s">
        <v>45</v>
      </c>
      <c r="B25" s="1">
        <v>46268</v>
      </c>
      <c r="C25" t="s">
        <v>24</v>
      </c>
      <c r="D25" t="s">
        <v>12</v>
      </c>
      <c r="E25">
        <v>1</v>
      </c>
      <c r="F25" s="2">
        <v>8100</v>
      </c>
      <c r="G25" s="2">
        <v>8100</v>
      </c>
    </row>
    <row r="26" spans="1:17" x14ac:dyDescent="0.3">
      <c r="A26" t="s">
        <v>46</v>
      </c>
      <c r="B26" s="1">
        <v>46270</v>
      </c>
      <c r="C26" t="s">
        <v>26</v>
      </c>
      <c r="D26" t="s">
        <v>9</v>
      </c>
      <c r="E26">
        <v>2</v>
      </c>
      <c r="F26" s="2">
        <v>2800</v>
      </c>
      <c r="G26" s="2">
        <v>5600</v>
      </c>
    </row>
    <row r="27" spans="1:17" x14ac:dyDescent="0.3">
      <c r="A27" t="s">
        <v>47</v>
      </c>
      <c r="B27" s="1">
        <v>46272</v>
      </c>
      <c r="C27" t="s">
        <v>28</v>
      </c>
      <c r="D27" t="s">
        <v>17</v>
      </c>
      <c r="E27">
        <v>5</v>
      </c>
      <c r="F27" s="2">
        <v>620</v>
      </c>
      <c r="G27" s="2">
        <v>3100</v>
      </c>
    </row>
    <row r="28" spans="1:17" x14ac:dyDescent="0.3">
      <c r="A28" t="s">
        <v>48</v>
      </c>
      <c r="B28" s="1">
        <v>46275</v>
      </c>
      <c r="C28" t="s">
        <v>31</v>
      </c>
      <c r="D28" t="s">
        <v>12</v>
      </c>
      <c r="E28">
        <v>1</v>
      </c>
      <c r="F28" s="2">
        <v>9700</v>
      </c>
      <c r="G28" s="2">
        <v>9700</v>
      </c>
    </row>
    <row r="29" spans="1:17" x14ac:dyDescent="0.3">
      <c r="A29" t="s">
        <v>49</v>
      </c>
      <c r="B29" s="1">
        <v>46278</v>
      </c>
      <c r="C29" t="s">
        <v>34</v>
      </c>
      <c r="D29" t="s">
        <v>9</v>
      </c>
      <c r="E29">
        <v>2</v>
      </c>
      <c r="F29" s="2">
        <v>3600</v>
      </c>
      <c r="G29" s="2">
        <v>7200</v>
      </c>
    </row>
    <row r="30" spans="1:17" x14ac:dyDescent="0.3">
      <c r="A30" t="s">
        <v>50</v>
      </c>
      <c r="B30" s="1">
        <v>46281</v>
      </c>
      <c r="C30" t="s">
        <v>36</v>
      </c>
      <c r="D30" t="s">
        <v>17</v>
      </c>
      <c r="E30">
        <v>4</v>
      </c>
      <c r="F30" s="2">
        <v>780</v>
      </c>
      <c r="G30" s="2">
        <v>3120</v>
      </c>
    </row>
    <row r="31" spans="1:17" x14ac:dyDescent="0.3">
      <c r="A31" t="s">
        <v>51</v>
      </c>
      <c r="B31" s="1">
        <v>46285</v>
      </c>
      <c r="C31" t="s">
        <v>41</v>
      </c>
      <c r="D31" t="s">
        <v>12</v>
      </c>
      <c r="E31">
        <v>1</v>
      </c>
      <c r="F31" s="2">
        <v>7200</v>
      </c>
      <c r="G31" s="2">
        <v>7200</v>
      </c>
    </row>
    <row r="32" spans="1:17" x14ac:dyDescent="0.3">
      <c r="A32" t="s">
        <v>52</v>
      </c>
      <c r="B32" s="1">
        <v>46289</v>
      </c>
      <c r="C32" t="s">
        <v>43</v>
      </c>
      <c r="D32" t="s">
        <v>9</v>
      </c>
      <c r="E32">
        <v>3</v>
      </c>
      <c r="F32" s="2">
        <v>1100</v>
      </c>
      <c r="G32" s="2">
        <v>3300</v>
      </c>
    </row>
    <row r="33" spans="1:7" x14ac:dyDescent="0.3">
      <c r="A33" t="s">
        <v>53</v>
      </c>
      <c r="B33" s="1">
        <v>46293</v>
      </c>
      <c r="C33" t="s">
        <v>11</v>
      </c>
      <c r="D33" t="s">
        <v>17</v>
      </c>
      <c r="E33">
        <v>2</v>
      </c>
      <c r="F33" s="2">
        <v>2400</v>
      </c>
      <c r="G33" s="2">
        <v>4800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</dc:creator>
  <cp:lastModifiedBy>Namrata Tarapara</cp:lastModifiedBy>
  <dcterms:created xsi:type="dcterms:W3CDTF">2015-06-05T18:17:20Z</dcterms:created>
  <dcterms:modified xsi:type="dcterms:W3CDTF">2026-09-30T12:06:31Z</dcterms:modified>
</cp:coreProperties>
</file>