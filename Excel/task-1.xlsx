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Namrata\Desktop\Internship task\Excel\"/>
    </mc:Choice>
  </mc:AlternateContent>
  <xr:revisionPtr revIDLastSave="0" documentId="13_ncr:1_{9D1A7C30-4A14-4BD6-90A2-A6219CB21B7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62" i="1" l="1"/>
  <c r="C61" i="1"/>
  <c r="C60" i="1"/>
  <c r="C59" i="1"/>
  <c r="C57" i="1"/>
  <c r="C58" i="1"/>
</calcChain>
</file>

<file path=xl/sharedStrings.xml><?xml version="1.0" encoding="utf-8"?>
<sst xmlns="http://schemas.openxmlformats.org/spreadsheetml/2006/main" count="221" uniqueCount="126">
  <si>
    <t>Order ID</t>
  </si>
  <si>
    <t>Date</t>
  </si>
  <si>
    <t>Product</t>
  </si>
  <si>
    <t>Category</t>
  </si>
  <si>
    <t>Qty</t>
  </si>
  <si>
    <t>Sales</t>
  </si>
  <si>
    <t>O-0001</t>
  </si>
  <si>
    <t>Smartphone</t>
  </si>
  <si>
    <t>Electronics</t>
  </si>
  <si>
    <t>O-0002</t>
  </si>
  <si>
    <t>T-Shirt</t>
  </si>
  <si>
    <t>Apparel</t>
  </si>
  <si>
    <t>O-0003</t>
  </si>
  <si>
    <t>Rice (5kg)</t>
  </si>
  <si>
    <t>Grocery</t>
  </si>
  <si>
    <t>O-0004</t>
  </si>
  <si>
    <t>Laptop</t>
  </si>
  <si>
    <t>O-0005</t>
  </si>
  <si>
    <t>Jeans</t>
  </si>
  <si>
    <t>O-0006</t>
  </si>
  <si>
    <t>Wheat Flour (1kg)</t>
  </si>
  <si>
    <t>O-0007</t>
  </si>
  <si>
    <t>LED TV 42"</t>
  </si>
  <si>
    <t>O-0008</t>
  </si>
  <si>
    <t>Dress</t>
  </si>
  <si>
    <t>O-0009</t>
  </si>
  <si>
    <t>Cooking Oil (1L)</t>
  </si>
  <si>
    <t>O-0010</t>
  </si>
  <si>
    <t>Bluetooth Headset</t>
  </si>
  <si>
    <t>O-0011</t>
  </si>
  <si>
    <t>Saree</t>
  </si>
  <si>
    <t>O-0012</t>
  </si>
  <si>
    <t>Mixer Grinder</t>
  </si>
  <si>
    <t>O-0013</t>
  </si>
  <si>
    <t>Dal (1kg)</t>
  </si>
  <si>
    <t>O-0014</t>
  </si>
  <si>
    <t>Tablet</t>
  </si>
  <si>
    <t>O-0015</t>
  </si>
  <si>
    <t>Kurta</t>
  </si>
  <si>
    <t>O-0016</t>
  </si>
  <si>
    <t>Sugar (1kg)</t>
  </si>
  <si>
    <t>O-0017</t>
  </si>
  <si>
    <t>Refrigerator</t>
  </si>
  <si>
    <t>O-0018</t>
  </si>
  <si>
    <t>Sweater</t>
  </si>
  <si>
    <t>O-0019</t>
  </si>
  <si>
    <t>Tea (500g)</t>
  </si>
  <si>
    <t>O-0020</t>
  </si>
  <si>
    <t>Smartwatch</t>
  </si>
  <si>
    <t>O-0021</t>
  </si>
  <si>
    <t>Nightdress</t>
  </si>
  <si>
    <t>O-0022</t>
  </si>
  <si>
    <t>Flour (5kg)</t>
  </si>
  <si>
    <t>O-0023</t>
  </si>
  <si>
    <t>Air Conditioner</t>
  </si>
  <si>
    <t>O-0024</t>
  </si>
  <si>
    <t>Shirt</t>
  </si>
  <si>
    <t>O-0025</t>
  </si>
  <si>
    <t>Coffee Beans (250g)</t>
  </si>
  <si>
    <t>O-0026</t>
  </si>
  <si>
    <t>Microwave Oven</t>
  </si>
  <si>
    <t>O-0027</t>
  </si>
  <si>
    <t>Skirt</t>
  </si>
  <si>
    <t>O-0028</t>
  </si>
  <si>
    <t>Biscuits (500g)</t>
  </si>
  <si>
    <t>O-0029</t>
  </si>
  <si>
    <t>DSLR Camera</t>
  </si>
  <si>
    <t>O-0030</t>
  </si>
  <si>
    <t>Blouse</t>
  </si>
  <si>
    <t>O-0031</t>
  </si>
  <si>
    <t>Salt (1kg)</t>
  </si>
  <si>
    <t>O-0032</t>
  </si>
  <si>
    <t>Gaming Console</t>
  </si>
  <si>
    <t>O-0033</t>
  </si>
  <si>
    <t>Leather Jacket</t>
  </si>
  <si>
    <t>O-0034</t>
  </si>
  <si>
    <t>Choco Cookies (200g)</t>
  </si>
  <si>
    <t>O-0035</t>
  </si>
  <si>
    <t>Washing Machine</t>
  </si>
  <si>
    <t>O-0036</t>
  </si>
  <si>
    <t>Dress Material</t>
  </si>
  <si>
    <t>O-0037</t>
  </si>
  <si>
    <t>Pulses (1kg)</t>
  </si>
  <si>
    <t>O-0038</t>
  </si>
  <si>
    <t>Air Fryer</t>
  </si>
  <si>
    <t>O-0039</t>
  </si>
  <si>
    <t>Kurti</t>
  </si>
  <si>
    <t>O-0040</t>
  </si>
  <si>
    <t>Milk Powder (500g)</t>
  </si>
  <si>
    <t>O-0041</t>
  </si>
  <si>
    <t>Laptop Bag</t>
  </si>
  <si>
    <t>O-0042</t>
  </si>
  <si>
    <t>Formal Shoes</t>
  </si>
  <si>
    <t>O-0043</t>
  </si>
  <si>
    <t>Tea Bags (100 pcs)</t>
  </si>
  <si>
    <t>O-0044</t>
  </si>
  <si>
    <t>Bluetooth Speaker</t>
  </si>
  <si>
    <t>O-0045</t>
  </si>
  <si>
    <t>Pants</t>
  </si>
  <si>
    <t>O-0046</t>
  </si>
  <si>
    <t>Olive Oil (1L)</t>
  </si>
  <si>
    <t>O-0047</t>
  </si>
  <si>
    <t>Desktop PC</t>
  </si>
  <si>
    <t>O-0048</t>
  </si>
  <si>
    <t>Scarf</t>
  </si>
  <si>
    <t>O-0049</t>
  </si>
  <si>
    <t>Dalia (1kg)</t>
  </si>
  <si>
    <t>O-0050</t>
  </si>
  <si>
    <t>Smart Router</t>
  </si>
  <si>
    <t>Region</t>
  </si>
  <si>
    <t>West</t>
  </si>
  <si>
    <t>North</t>
  </si>
  <si>
    <t>South</t>
  </si>
  <si>
    <t>East</t>
  </si>
  <si>
    <t>Central</t>
  </si>
  <si>
    <t>Northwest</t>
  </si>
  <si>
    <t>Northeast</t>
  </si>
  <si>
    <t>Southwest</t>
  </si>
  <si>
    <t>Southeast</t>
  </si>
  <si>
    <t>Summary</t>
  </si>
  <si>
    <t>Total Sales</t>
  </si>
  <si>
    <t>Average Sales</t>
  </si>
  <si>
    <t>Highest Sales</t>
  </si>
  <si>
    <t>Lowest Sales</t>
  </si>
  <si>
    <t>Total Orders</t>
  </si>
  <si>
    <t>Total Quantity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</si>
</sst>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mm\-dd\-yyyy"/>
    <numFmt numFmtId="165" formatCode="#.00"/>
    <numFmt numFmtId="166" formatCode="dd\-mm\-yyyy"/>
  </numFmts>
  <fonts count="4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rgb="FFFFFFFF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/>
      </patternFill>
    </fill>
    <fill>
      <patternFill patternType="solid">
        <fgColor rgb="FF4F81BD"/>
        <bgColor indexed="64"/>
      </patternFill>
    </fill>
  </fills>
  <borders count="11">
    <border>
      <left/>
      <right/>
      <top/>
      <bottom/>
      <diagonal/>
    </border>
    <border>
      <left style="thin">
        <color rgb="FFD3D3D3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 style="thin">
        <color rgb="FFDCDCDC"/>
      </right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 style="thin">
        <color rgb="FFDCDCDC"/>
      </bottom>
      <diagonal/>
    </border>
    <border>
      <left style="thin">
        <color rgb="FFDCDCDC"/>
      </left>
      <right/>
      <top style="thin">
        <color rgb="FFDCDCDC"/>
      </top>
      <bottom style="thin">
        <color rgb="FFDCDCDC"/>
      </bottom>
      <diagonal/>
    </border>
    <border>
      <left/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 style="thin">
        <color rgb="FFDCDCDC"/>
      </right>
      <top/>
      <bottom style="thin">
        <color rgb="FFDCDCDC"/>
      </bottom>
      <diagonal/>
    </border>
    <border>
      <left style="thin">
        <color rgb="FFDCDCDC"/>
      </left>
      <right/>
      <top/>
      <bottom style="thin">
        <color rgb="FFDCDCDC"/>
      </bottom>
      <diagonal/>
    </border>
    <border>
      <left/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 style="thin">
        <color rgb="FFDCDCDC"/>
      </right>
      <top style="thin">
        <color rgb="FFDCDCDC"/>
      </top>
      <bottom/>
      <diagonal/>
    </border>
    <border>
      <left style="thin">
        <color rgb="FFDCDCDC"/>
      </left>
      <right/>
      <top style="thin">
        <color rgb="FFDCDCDC"/>
      </top>
      <bottom/>
      <diagonal/>
    </border>
  </borders>
  <cellStyleXfs count="2">
    <xf numFmtId="0" fontId="0" fillId="0" borderId="0"/>
    <xf numFmtId="0" fontId="2" fillId="2" borderId="0" applyNumberFormat="0" applyBorder="0" applyAlignment="0" applyProtection="0"/>
  </cellStyleXfs>
  <cellXfs count="19">
    <xf numFmtId="0" fontId="0" fillId="0" borderId="0" xfId="0"/>
    <xf numFmtId="0" fontId="0" fillId="0" borderId="1" xfId="0" applyBorder="1"/>
    <xf numFmtId="164" fontId="0" fillId="0" borderId="2" xfId="0" applyNumberFormat="1" applyBorder="1"/>
    <xf numFmtId="0" fontId="0" fillId="0" borderId="2" xfId="0" applyBorder="1"/>
    <xf numFmtId="165" fontId="0" fillId="0" borderId="2" xfId="0" applyNumberFormat="1" applyBorder="1"/>
    <xf numFmtId="166" fontId="0" fillId="0" borderId="2" xfId="0" applyNumberFormat="1" applyBorder="1"/>
    <xf numFmtId="0" fontId="2" fillId="2" borderId="0" xfId="1"/>
    <xf numFmtId="165" fontId="0" fillId="0" borderId="0" xfId="0" applyNumberFormat="1"/>
    <xf numFmtId="0" fontId="1" fillId="2" borderId="0" xfId="1" applyFont="1"/>
    <xf numFmtId="0" fontId="0" fillId="0" borderId="3" xfId="0" applyBorder="1"/>
    <xf numFmtId="165" fontId="0" fillId="0" borderId="4" xfId="0" applyNumberFormat="1" applyBorder="1"/>
    <xf numFmtId="0" fontId="0" fillId="0" borderId="4" xfId="0" applyBorder="1"/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0" fillId="0" borderId="8" xfId="0" applyBorder="1"/>
    <xf numFmtId="164" fontId="0" fillId="0" borderId="9" xfId="0" applyNumberFormat="1" applyBorder="1"/>
    <xf numFmtId="0" fontId="0" fillId="0" borderId="9" xfId="0" applyBorder="1"/>
    <xf numFmtId="165" fontId="0" fillId="0" borderId="10" xfId="0" applyNumberFormat="1" applyBorder="1"/>
  </cellXfs>
  <cellStyles count="2">
    <cellStyle name="Accent1" xfId="1" builtinId="29"/>
    <cellStyle name="Normal" xfId="0" builtinId="0"/>
  </cellStyles>
  <dxfs count="10"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Arial"/>
        <family val="2"/>
        <scheme val="none"/>
      </font>
      <fill>
        <patternFill patternType="solid">
          <fgColor indexed="64"/>
          <bgColor rgb="FF4F81BD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rgb="FFDCDCDC"/>
        </left>
        <right style="thin">
          <color rgb="FFDCDCDC"/>
        </right>
        <top/>
        <bottom/>
      </border>
    </dxf>
    <dxf>
      <numFmt numFmtId="165" formatCode="#.00"/>
      <border diagonalUp="0" diagonalDown="0">
        <left style="thin">
          <color rgb="FFDCDCDC"/>
        </left>
        <right/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numFmt numFmtId="164" formatCode="mm\-dd\-yyyy"/>
      <border diagonalUp="0" diagonalDown="0">
        <left style="thin">
          <color rgb="FFDCDCDC"/>
        </left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diagonalUp="0" diagonalDown="0">
        <left/>
        <right style="thin">
          <color rgb="FFDCDCDC"/>
        </right>
        <top style="thin">
          <color rgb="FFDCDCDC"/>
        </top>
        <bottom style="thin">
          <color rgb="FFDCDCDC"/>
        </bottom>
        <vertical/>
        <horizontal/>
      </border>
    </dxf>
    <dxf>
      <border outline="0">
        <bottom style="thin">
          <color rgb="FFDCDCDC"/>
        </bottom>
      </border>
    </dxf>
    <dxf>
      <border outline="0">
        <left style="thin">
          <color rgb="FFD3D3D3"/>
        </left>
        <right style="thin">
          <color rgb="FFDCDCDC"/>
        </right>
        <top style="medium">
          <color rgb="FF4F81BD"/>
        </top>
        <bottom style="thin">
          <color rgb="FFDCDCDC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B8FA10F-34DB-4E68-A857-BEC004390A8E}" name="Table1" displayName="Table1" ref="A3:G53" totalsRowShown="0" headerRowDxfId="0" headerRowBorderDxfId="8" tableBorderDxfId="9">
  <tableColumns count="7">
    <tableColumn id="1" xr3:uid="{B100E7B2-B572-437B-805C-6E5826CC896F}" name="Order ID" dataDxfId="7"/>
    <tableColumn id="2" xr3:uid="{333B028D-9357-4241-BBD9-F49291617BAC}" name="Date" dataDxfId="6"/>
    <tableColumn id="3" xr3:uid="{A8B9C2E2-2F44-4ED9-9B6C-666BF908DB43}" name="Region" dataDxfId="5"/>
    <tableColumn id="4" xr3:uid="{7C3A664A-C919-4F54-8538-28C58D48B69D}" name="Category" dataDxfId="4"/>
    <tableColumn id="5" xr3:uid="{2B1A959B-04FD-4553-BFE3-124A3A39E5BB}" name="Product" dataDxfId="3"/>
    <tableColumn id="6" xr3:uid="{7F39AE00-8C41-4828-979A-DF8911359F62}" name="Qty" dataDxfId="2"/>
    <tableColumn id="7" xr3:uid="{84E1404D-F2B4-4222-8112-A5B350910D5C}" name="Sales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V62"/>
  <sheetViews>
    <sheetView tabSelected="1" topLeftCell="A23" zoomScale="63" workbookViewId="0">
      <selection activeCell="L20" sqref="L20"/>
    </sheetView>
  </sheetViews>
  <sheetFormatPr defaultRowHeight="14.4" x14ac:dyDescent="0.3"/>
  <cols>
    <col min="1" max="1" width="11.33203125" customWidth="1"/>
    <col min="2" max="4" width="14.21875" customWidth="1"/>
    <col min="5" max="5" width="15.88671875" customWidth="1"/>
    <col min="7" max="7" width="12.5546875" customWidth="1"/>
  </cols>
  <sheetData>
    <row r="3" spans="1:8" x14ac:dyDescent="0.3">
      <c r="A3" s="12" t="s">
        <v>0</v>
      </c>
      <c r="B3" s="13" t="s">
        <v>1</v>
      </c>
      <c r="C3" s="13" t="s">
        <v>109</v>
      </c>
      <c r="D3" s="13" t="s">
        <v>3</v>
      </c>
      <c r="E3" s="13" t="s">
        <v>2</v>
      </c>
      <c r="F3" s="13" t="s">
        <v>4</v>
      </c>
      <c r="G3" s="14" t="s">
        <v>5</v>
      </c>
    </row>
    <row r="4" spans="1:8" x14ac:dyDescent="0.3">
      <c r="A4" s="9" t="s">
        <v>6</v>
      </c>
      <c r="B4" s="2">
        <v>45261</v>
      </c>
      <c r="C4" t="s">
        <v>110</v>
      </c>
      <c r="D4" s="3" t="s">
        <v>8</v>
      </c>
      <c r="E4" s="3" t="s">
        <v>7</v>
      </c>
      <c r="F4" s="3">
        <v>2</v>
      </c>
      <c r="G4" s="10">
        <v>15500</v>
      </c>
      <c r="H4" s="3"/>
    </row>
    <row r="5" spans="1:8" x14ac:dyDescent="0.3">
      <c r="A5" s="9" t="s">
        <v>9</v>
      </c>
      <c r="B5" s="5">
        <v>44941</v>
      </c>
      <c r="C5" t="s">
        <v>111</v>
      </c>
      <c r="D5" s="3" t="s">
        <v>11</v>
      </c>
      <c r="E5" s="3" t="s">
        <v>10</v>
      </c>
      <c r="F5" s="3">
        <v>5</v>
      </c>
      <c r="G5" s="10">
        <v>5997.5</v>
      </c>
      <c r="H5" s="3"/>
    </row>
    <row r="6" spans="1:8" x14ac:dyDescent="0.3">
      <c r="A6" s="9" t="s">
        <v>12</v>
      </c>
      <c r="B6" s="5">
        <v>44946</v>
      </c>
      <c r="C6" t="s">
        <v>112</v>
      </c>
      <c r="D6" s="3" t="s">
        <v>14</v>
      </c>
      <c r="E6" s="3" t="s">
        <v>13</v>
      </c>
      <c r="F6" s="3">
        <v>10</v>
      </c>
      <c r="G6" s="10">
        <v>4500</v>
      </c>
      <c r="H6" s="3"/>
    </row>
    <row r="7" spans="1:8" x14ac:dyDescent="0.3">
      <c r="A7" s="9" t="s">
        <v>15</v>
      </c>
      <c r="B7" s="5">
        <v>45313</v>
      </c>
      <c r="C7" t="s">
        <v>113</v>
      </c>
      <c r="D7" s="3" t="s">
        <v>8</v>
      </c>
      <c r="E7" s="3" t="s">
        <v>16</v>
      </c>
      <c r="F7" s="3">
        <v>1</v>
      </c>
      <c r="G7" s="10">
        <v>75000</v>
      </c>
      <c r="H7" s="3"/>
    </row>
    <row r="8" spans="1:8" x14ac:dyDescent="0.3">
      <c r="A8" s="9" t="s">
        <v>17</v>
      </c>
      <c r="B8" s="5">
        <v>45316</v>
      </c>
      <c r="C8" t="s">
        <v>114</v>
      </c>
      <c r="D8" s="3" t="s">
        <v>11</v>
      </c>
      <c r="E8" s="3" t="s">
        <v>18</v>
      </c>
      <c r="F8" s="3">
        <v>3</v>
      </c>
      <c r="G8" s="11">
        <v>6899.97</v>
      </c>
      <c r="H8" s="3"/>
    </row>
    <row r="9" spans="1:8" x14ac:dyDescent="0.3">
      <c r="A9" s="9" t="s">
        <v>19</v>
      </c>
      <c r="B9" s="5">
        <v>44954</v>
      </c>
      <c r="C9" t="s">
        <v>115</v>
      </c>
      <c r="D9" s="3" t="s">
        <v>14</v>
      </c>
      <c r="E9" s="3" t="s">
        <v>20</v>
      </c>
      <c r="F9" s="3">
        <v>20</v>
      </c>
      <c r="G9" s="10">
        <v>1600</v>
      </c>
      <c r="H9" s="3"/>
    </row>
    <row r="10" spans="1:8" x14ac:dyDescent="0.3">
      <c r="A10" s="9" t="s">
        <v>21</v>
      </c>
      <c r="B10" s="2">
        <v>44959</v>
      </c>
      <c r="C10" t="s">
        <v>110</v>
      </c>
      <c r="D10" s="3" t="s">
        <v>8</v>
      </c>
      <c r="E10" s="3" t="s">
        <v>22</v>
      </c>
      <c r="F10" s="3">
        <v>1</v>
      </c>
      <c r="G10" s="10">
        <v>32000</v>
      </c>
      <c r="H10" s="3"/>
    </row>
    <row r="11" spans="1:8" x14ac:dyDescent="0.3">
      <c r="A11" s="9" t="s">
        <v>23</v>
      </c>
      <c r="B11" s="2">
        <v>45048</v>
      </c>
      <c r="C11" t="s">
        <v>116</v>
      </c>
      <c r="D11" s="3" t="s">
        <v>11</v>
      </c>
      <c r="E11" s="3" t="s">
        <v>24</v>
      </c>
      <c r="F11" s="3">
        <v>2</v>
      </c>
      <c r="G11" s="10">
        <v>6598</v>
      </c>
      <c r="H11" s="3"/>
    </row>
    <row r="12" spans="1:8" x14ac:dyDescent="0.3">
      <c r="A12" s="9" t="s">
        <v>25</v>
      </c>
      <c r="B12" s="2">
        <v>45140</v>
      </c>
      <c r="C12" t="s">
        <v>112</v>
      </c>
      <c r="D12" s="3" t="s">
        <v>14</v>
      </c>
      <c r="E12" s="3" t="s">
        <v>26</v>
      </c>
      <c r="F12" s="3">
        <v>6</v>
      </c>
      <c r="G12" s="10">
        <v>1264.5</v>
      </c>
      <c r="H12" s="3"/>
    </row>
    <row r="13" spans="1:8" x14ac:dyDescent="0.3">
      <c r="A13" s="9" t="s">
        <v>27</v>
      </c>
      <c r="B13" s="2">
        <v>45262</v>
      </c>
      <c r="C13" t="s">
        <v>113</v>
      </c>
      <c r="D13" s="3" t="s">
        <v>8</v>
      </c>
      <c r="E13" s="3" t="s">
        <v>28</v>
      </c>
      <c r="F13" s="3">
        <v>4</v>
      </c>
      <c r="G13" s="11">
        <v>5199.96</v>
      </c>
      <c r="H13" s="3"/>
    </row>
    <row r="14" spans="1:8" x14ac:dyDescent="0.3">
      <c r="A14" s="9" t="s">
        <v>29</v>
      </c>
      <c r="B14" s="5">
        <v>44972</v>
      </c>
      <c r="C14" s="3" t="s">
        <v>117</v>
      </c>
      <c r="D14" s="3" t="s">
        <v>11</v>
      </c>
      <c r="E14" s="3" t="s">
        <v>30</v>
      </c>
      <c r="F14" s="3">
        <v>1</v>
      </c>
      <c r="G14" s="10">
        <v>5499</v>
      </c>
      <c r="H14" s="3"/>
    </row>
    <row r="15" spans="1:8" x14ac:dyDescent="0.3">
      <c r="A15" s="9" t="s">
        <v>31</v>
      </c>
      <c r="B15" s="5">
        <v>45340</v>
      </c>
      <c r="C15" s="3" t="s">
        <v>111</v>
      </c>
      <c r="D15" s="3" t="s">
        <v>8</v>
      </c>
      <c r="E15" s="3" t="s">
        <v>32</v>
      </c>
      <c r="F15" s="3">
        <v>3</v>
      </c>
      <c r="G15" s="10">
        <v>13498.5</v>
      </c>
      <c r="H15" s="3"/>
    </row>
    <row r="16" spans="1:8" x14ac:dyDescent="0.3">
      <c r="A16" s="9" t="s">
        <v>33</v>
      </c>
      <c r="B16" s="5">
        <v>45342</v>
      </c>
      <c r="C16" s="3" t="s">
        <v>114</v>
      </c>
      <c r="D16" s="3" t="s">
        <v>14</v>
      </c>
      <c r="E16" s="3" t="s">
        <v>34</v>
      </c>
      <c r="F16" s="3">
        <v>11</v>
      </c>
      <c r="G16" s="10">
        <v>1440</v>
      </c>
      <c r="H16" s="3"/>
    </row>
    <row r="17" spans="1:8" x14ac:dyDescent="0.3">
      <c r="A17" s="9" t="s">
        <v>35</v>
      </c>
      <c r="B17" s="5">
        <v>45347</v>
      </c>
      <c r="C17" s="3" t="s">
        <v>110</v>
      </c>
      <c r="D17" s="3" t="s">
        <v>8</v>
      </c>
      <c r="E17" s="3" t="s">
        <v>36</v>
      </c>
      <c r="F17" s="3">
        <v>2</v>
      </c>
      <c r="G17" s="11">
        <v>39999.980000000003</v>
      </c>
      <c r="H17" s="3"/>
    </row>
    <row r="18" spans="1:8" x14ac:dyDescent="0.3">
      <c r="A18" s="9" t="s">
        <v>37</v>
      </c>
      <c r="B18" s="5">
        <v>44985</v>
      </c>
      <c r="C18" s="3" t="s">
        <v>118</v>
      </c>
      <c r="D18" s="3" t="s">
        <v>11</v>
      </c>
      <c r="E18" s="3" t="s">
        <v>38</v>
      </c>
      <c r="F18" s="3">
        <v>4</v>
      </c>
      <c r="G18" s="10">
        <v>5997</v>
      </c>
      <c r="H18" s="3"/>
    </row>
    <row r="19" spans="1:8" x14ac:dyDescent="0.3">
      <c r="A19" s="9" t="s">
        <v>39</v>
      </c>
      <c r="B19" s="2">
        <v>44960</v>
      </c>
      <c r="C19" s="3" t="s">
        <v>112</v>
      </c>
      <c r="D19" s="3" t="s">
        <v>14</v>
      </c>
      <c r="E19" s="3" t="s">
        <v>40</v>
      </c>
      <c r="F19" s="3">
        <v>15</v>
      </c>
      <c r="G19" s="10">
        <v>682.5</v>
      </c>
      <c r="H19" s="3"/>
    </row>
    <row r="20" spans="1:8" x14ac:dyDescent="0.3">
      <c r="A20" s="9" t="s">
        <v>41</v>
      </c>
      <c r="B20" s="2">
        <v>45049</v>
      </c>
      <c r="C20" s="3" t="s">
        <v>113</v>
      </c>
      <c r="D20" s="3" t="s">
        <v>8</v>
      </c>
      <c r="E20" s="3" t="s">
        <v>42</v>
      </c>
      <c r="F20" s="3">
        <v>1</v>
      </c>
      <c r="G20" s="10">
        <v>84000</v>
      </c>
      <c r="H20" s="3"/>
    </row>
    <row r="21" spans="1:8" x14ac:dyDescent="0.3">
      <c r="A21" s="9" t="s">
        <v>43</v>
      </c>
      <c r="B21" s="2">
        <v>45141</v>
      </c>
      <c r="C21" s="3" t="s">
        <v>115</v>
      </c>
      <c r="D21" s="3" t="s">
        <v>11</v>
      </c>
      <c r="E21" s="3" t="s">
        <v>44</v>
      </c>
      <c r="F21" s="3">
        <v>2</v>
      </c>
      <c r="G21" s="11">
        <v>4199.9799999999996</v>
      </c>
      <c r="H21" s="3"/>
    </row>
    <row r="22" spans="1:8" x14ac:dyDescent="0.3">
      <c r="A22" s="9" t="s">
        <v>45</v>
      </c>
      <c r="B22" s="2">
        <v>45233</v>
      </c>
      <c r="C22" s="3" t="s">
        <v>111</v>
      </c>
      <c r="D22" s="3" t="s">
        <v>14</v>
      </c>
      <c r="E22" s="3" t="s">
        <v>46</v>
      </c>
      <c r="F22" s="3">
        <v>8</v>
      </c>
      <c r="G22" s="10">
        <v>1446</v>
      </c>
      <c r="H22" s="3"/>
    </row>
    <row r="23" spans="1:8" x14ac:dyDescent="0.3">
      <c r="A23" s="9" t="s">
        <v>47</v>
      </c>
      <c r="B23" s="5">
        <v>44999</v>
      </c>
      <c r="C23" s="3" t="s">
        <v>110</v>
      </c>
      <c r="D23" s="3" t="s">
        <v>8</v>
      </c>
      <c r="E23" s="3" t="s">
        <v>48</v>
      </c>
      <c r="F23" s="3">
        <v>3</v>
      </c>
      <c r="G23" s="10">
        <v>23997</v>
      </c>
      <c r="H23" s="3"/>
    </row>
    <row r="24" spans="1:8" x14ac:dyDescent="0.3">
      <c r="A24" s="9" t="s">
        <v>49</v>
      </c>
      <c r="B24" s="5">
        <v>45002</v>
      </c>
      <c r="C24" s="3" t="s">
        <v>116</v>
      </c>
      <c r="D24" s="3" t="s">
        <v>11</v>
      </c>
      <c r="E24" s="3" t="s">
        <v>50</v>
      </c>
      <c r="F24" s="3">
        <v>5</v>
      </c>
      <c r="G24" s="11">
        <v>5499.95</v>
      </c>
      <c r="H24" s="3"/>
    </row>
    <row r="25" spans="1:8" x14ac:dyDescent="0.3">
      <c r="A25" s="9" t="s">
        <v>51</v>
      </c>
      <c r="B25" s="5">
        <v>45371</v>
      </c>
      <c r="C25" s="3" t="s">
        <v>114</v>
      </c>
      <c r="D25" s="3" t="s">
        <v>14</v>
      </c>
      <c r="E25" s="3" t="s">
        <v>52</v>
      </c>
      <c r="F25" s="3">
        <v>7</v>
      </c>
      <c r="G25" s="10">
        <v>1960</v>
      </c>
      <c r="H25" s="3"/>
    </row>
    <row r="26" spans="1:8" x14ac:dyDescent="0.3">
      <c r="A26" s="9" t="s">
        <v>53</v>
      </c>
      <c r="B26" s="5">
        <v>45374</v>
      </c>
      <c r="C26" s="3" t="s">
        <v>112</v>
      </c>
      <c r="D26" s="3" t="s">
        <v>8</v>
      </c>
      <c r="E26" s="3" t="s">
        <v>54</v>
      </c>
      <c r="F26" s="3">
        <v>1</v>
      </c>
      <c r="G26" s="10">
        <v>195000</v>
      </c>
      <c r="H26" s="3"/>
    </row>
    <row r="27" spans="1:8" x14ac:dyDescent="0.3">
      <c r="A27" s="9" t="s">
        <v>55</v>
      </c>
      <c r="B27" s="5">
        <v>45377</v>
      </c>
      <c r="C27" s="3" t="s">
        <v>113</v>
      </c>
      <c r="D27" s="3" t="s">
        <v>11</v>
      </c>
      <c r="E27" s="3" t="s">
        <v>56</v>
      </c>
      <c r="F27" s="3">
        <v>6</v>
      </c>
      <c r="G27" s="10">
        <v>7194</v>
      </c>
      <c r="H27" s="3"/>
    </row>
    <row r="28" spans="1:8" x14ac:dyDescent="0.3">
      <c r="A28" s="9" t="s">
        <v>57</v>
      </c>
      <c r="B28" s="5">
        <v>45380</v>
      </c>
      <c r="C28" s="3" t="s">
        <v>117</v>
      </c>
      <c r="D28" s="3" t="s">
        <v>14</v>
      </c>
      <c r="E28" s="3" t="s">
        <v>58</v>
      </c>
      <c r="F28" s="3">
        <v>3</v>
      </c>
      <c r="G28" s="10">
        <v>1050</v>
      </c>
      <c r="H28" s="3"/>
    </row>
    <row r="29" spans="1:8" x14ac:dyDescent="0.3">
      <c r="A29" s="9" t="s">
        <v>59</v>
      </c>
      <c r="B29" s="2">
        <v>44930</v>
      </c>
      <c r="C29" s="3" t="s">
        <v>110</v>
      </c>
      <c r="D29" s="3" t="s">
        <v>8</v>
      </c>
      <c r="E29" s="3" t="s">
        <v>60</v>
      </c>
      <c r="F29" s="3">
        <v>2</v>
      </c>
      <c r="G29" s="10">
        <v>25000</v>
      </c>
      <c r="H29" s="3"/>
    </row>
    <row r="30" spans="1:8" x14ac:dyDescent="0.3">
      <c r="A30" s="9" t="s">
        <v>61</v>
      </c>
      <c r="B30" s="2">
        <v>45020</v>
      </c>
      <c r="C30" s="3" t="s">
        <v>111</v>
      </c>
      <c r="D30" s="3" t="s">
        <v>11</v>
      </c>
      <c r="E30" s="3" t="s">
        <v>62</v>
      </c>
      <c r="F30" s="3">
        <v>3</v>
      </c>
      <c r="G30" s="11">
        <v>2999.97</v>
      </c>
      <c r="H30" s="3"/>
    </row>
    <row r="31" spans="1:8" x14ac:dyDescent="0.3">
      <c r="A31" s="9" t="s">
        <v>63</v>
      </c>
      <c r="B31" s="2">
        <v>45111</v>
      </c>
      <c r="C31" s="3" t="s">
        <v>118</v>
      </c>
      <c r="D31" s="3" t="s">
        <v>14</v>
      </c>
      <c r="E31" s="3" t="s">
        <v>64</v>
      </c>
      <c r="F31" s="3">
        <v>10</v>
      </c>
      <c r="G31" s="10">
        <v>1200</v>
      </c>
      <c r="H31" s="3"/>
    </row>
    <row r="32" spans="1:8" x14ac:dyDescent="0.3">
      <c r="A32" s="9" t="s">
        <v>65</v>
      </c>
      <c r="B32" s="2">
        <v>45203</v>
      </c>
      <c r="C32" s="3" t="s">
        <v>112</v>
      </c>
      <c r="D32" s="3" t="s">
        <v>8</v>
      </c>
      <c r="E32" s="3" t="s">
        <v>66</v>
      </c>
      <c r="F32" s="3">
        <v>1</v>
      </c>
      <c r="G32" s="10">
        <v>85000</v>
      </c>
      <c r="H32" s="3"/>
    </row>
    <row r="33" spans="1:22" x14ac:dyDescent="0.3">
      <c r="A33" s="9" t="s">
        <v>67</v>
      </c>
      <c r="B33" s="5">
        <v>45029</v>
      </c>
      <c r="C33" s="3" t="s">
        <v>114</v>
      </c>
      <c r="D33" s="3" t="s">
        <v>11</v>
      </c>
      <c r="E33" s="3" t="s">
        <v>68</v>
      </c>
      <c r="F33" s="3">
        <v>2</v>
      </c>
      <c r="G33" s="10">
        <v>2999</v>
      </c>
      <c r="H33" s="3"/>
    </row>
    <row r="34" spans="1:22" x14ac:dyDescent="0.3">
      <c r="A34" s="9" t="s">
        <v>69</v>
      </c>
      <c r="B34" s="5">
        <v>45032</v>
      </c>
      <c r="C34" s="3" t="s">
        <v>113</v>
      </c>
      <c r="D34" s="3" t="s">
        <v>14</v>
      </c>
      <c r="E34" s="3" t="s">
        <v>70</v>
      </c>
      <c r="F34" s="3">
        <v>25</v>
      </c>
      <c r="G34" s="10">
        <v>550</v>
      </c>
      <c r="H34" s="3"/>
    </row>
    <row r="35" spans="1:22" x14ac:dyDescent="0.3">
      <c r="A35" s="9" t="s">
        <v>71</v>
      </c>
      <c r="B35" s="5">
        <v>45035</v>
      </c>
      <c r="C35" s="3" t="s">
        <v>115</v>
      </c>
      <c r="D35" s="3" t="s">
        <v>8</v>
      </c>
      <c r="E35" s="3" t="s">
        <v>72</v>
      </c>
      <c r="F35" s="3">
        <v>1</v>
      </c>
      <c r="G35" s="10">
        <v>30000</v>
      </c>
      <c r="H35" s="3"/>
    </row>
    <row r="36" spans="1:22" x14ac:dyDescent="0.3">
      <c r="A36" s="9" t="s">
        <v>73</v>
      </c>
      <c r="B36" s="5">
        <v>45038</v>
      </c>
      <c r="C36" s="3" t="s">
        <v>110</v>
      </c>
      <c r="D36" s="3" t="s">
        <v>11</v>
      </c>
      <c r="E36" s="3" t="s">
        <v>74</v>
      </c>
      <c r="F36" s="3">
        <v>1</v>
      </c>
      <c r="G36" s="11">
        <v>9999.99</v>
      </c>
      <c r="H36" s="3"/>
    </row>
    <row r="37" spans="1:22" x14ac:dyDescent="0.3">
      <c r="A37" s="9" t="s">
        <v>75</v>
      </c>
      <c r="B37" s="5">
        <v>45407</v>
      </c>
      <c r="C37" s="3" t="s">
        <v>111</v>
      </c>
      <c r="D37" s="3" t="s">
        <v>14</v>
      </c>
      <c r="E37" s="3" t="s">
        <v>76</v>
      </c>
      <c r="F37" s="3">
        <v>12</v>
      </c>
      <c r="G37" s="10">
        <v>2200</v>
      </c>
      <c r="H37" s="3"/>
    </row>
    <row r="38" spans="1:22" x14ac:dyDescent="0.3">
      <c r="A38" s="9" t="s">
        <v>77</v>
      </c>
      <c r="B38" s="5">
        <v>45410</v>
      </c>
      <c r="C38" s="3" t="s">
        <v>116</v>
      </c>
      <c r="D38" s="3" t="s">
        <v>8</v>
      </c>
      <c r="E38" s="3" t="s">
        <v>78</v>
      </c>
      <c r="F38" s="3">
        <v>1</v>
      </c>
      <c r="G38" s="10">
        <v>42000</v>
      </c>
      <c r="H38" s="3"/>
      <c r="N38" s="1"/>
      <c r="O38" s="2"/>
      <c r="P38" s="3"/>
      <c r="Q38" s="3"/>
      <c r="R38" s="3"/>
      <c r="S38" s="3"/>
      <c r="T38" s="4"/>
      <c r="U38" s="4"/>
      <c r="V38" s="3"/>
    </row>
    <row r="39" spans="1:22" x14ac:dyDescent="0.3">
      <c r="A39" s="9" t="s">
        <v>79</v>
      </c>
      <c r="B39" s="2">
        <v>44931</v>
      </c>
      <c r="C39" s="3" t="s">
        <v>112</v>
      </c>
      <c r="D39" s="3" t="s">
        <v>11</v>
      </c>
      <c r="E39" s="3" t="s">
        <v>80</v>
      </c>
      <c r="F39" s="3">
        <v>4</v>
      </c>
      <c r="G39" s="10">
        <v>9996</v>
      </c>
      <c r="H39" s="3"/>
      <c r="N39" s="1"/>
      <c r="O39" s="2"/>
      <c r="P39" s="3"/>
      <c r="Q39" s="3"/>
      <c r="R39" s="3"/>
      <c r="S39" s="3"/>
      <c r="T39" s="4"/>
      <c r="U39" s="4"/>
      <c r="V39" s="3"/>
    </row>
    <row r="40" spans="1:22" x14ac:dyDescent="0.3">
      <c r="A40" s="9" t="s">
        <v>81</v>
      </c>
      <c r="B40" s="2">
        <v>45021</v>
      </c>
      <c r="C40" s="3" t="s">
        <v>114</v>
      </c>
      <c r="D40" s="3" t="s">
        <v>14</v>
      </c>
      <c r="E40" s="3" t="s">
        <v>82</v>
      </c>
      <c r="F40" s="3">
        <v>9</v>
      </c>
      <c r="G40" s="10">
        <v>1170</v>
      </c>
      <c r="H40" s="3"/>
      <c r="N40" s="1"/>
      <c r="O40" s="5"/>
      <c r="P40" s="3"/>
      <c r="Q40" s="3"/>
      <c r="R40" s="3"/>
      <c r="S40" s="3"/>
      <c r="T40" s="4"/>
      <c r="U40" s="4"/>
      <c r="V40" s="3"/>
    </row>
    <row r="41" spans="1:22" x14ac:dyDescent="0.3">
      <c r="A41" s="9" t="s">
        <v>83</v>
      </c>
      <c r="B41" s="2">
        <v>45112</v>
      </c>
      <c r="C41" s="3" t="s">
        <v>117</v>
      </c>
      <c r="D41" s="3" t="s">
        <v>8</v>
      </c>
      <c r="E41" s="3" t="s">
        <v>84</v>
      </c>
      <c r="F41" s="3">
        <v>2</v>
      </c>
      <c r="G41" s="10">
        <v>18000</v>
      </c>
      <c r="H41" s="3"/>
      <c r="N41" s="1"/>
      <c r="O41" s="5"/>
      <c r="P41" s="3"/>
      <c r="Q41" s="3"/>
      <c r="R41" s="3"/>
      <c r="S41" s="3"/>
      <c r="T41" s="4"/>
      <c r="U41" s="4"/>
      <c r="V41" s="3"/>
    </row>
    <row r="42" spans="1:22" x14ac:dyDescent="0.3">
      <c r="A42" s="9" t="s">
        <v>85</v>
      </c>
      <c r="B42" s="2">
        <v>45204</v>
      </c>
      <c r="C42" s="3" t="s">
        <v>113</v>
      </c>
      <c r="D42" s="3" t="s">
        <v>11</v>
      </c>
      <c r="E42" s="3" t="s">
        <v>86</v>
      </c>
      <c r="F42" s="3">
        <v>5</v>
      </c>
      <c r="G42" s="11">
        <v>5999.95</v>
      </c>
      <c r="H42" s="3"/>
      <c r="N42" s="1"/>
      <c r="O42" s="5"/>
      <c r="P42" s="3"/>
      <c r="Q42" s="3"/>
      <c r="R42" s="3"/>
      <c r="S42" s="3"/>
      <c r="T42" s="4"/>
      <c r="U42" s="4"/>
      <c r="V42" s="3"/>
    </row>
    <row r="43" spans="1:22" x14ac:dyDescent="0.3">
      <c r="A43" s="9" t="s">
        <v>87</v>
      </c>
      <c r="B43" s="5">
        <v>45059</v>
      </c>
      <c r="C43" s="3" t="s">
        <v>110</v>
      </c>
      <c r="D43" s="3" t="s">
        <v>14</v>
      </c>
      <c r="E43" s="3" t="s">
        <v>88</v>
      </c>
      <c r="F43" s="3">
        <v>8</v>
      </c>
      <c r="G43" s="10">
        <v>1680</v>
      </c>
      <c r="H43" s="3"/>
      <c r="N43" s="1"/>
      <c r="O43" s="5"/>
      <c r="P43" s="3"/>
      <c r="Q43" s="3"/>
      <c r="R43" s="3"/>
      <c r="S43" s="3"/>
      <c r="T43" s="3"/>
      <c r="U43" s="3"/>
      <c r="V43" s="3"/>
    </row>
    <row r="44" spans="1:22" x14ac:dyDescent="0.3">
      <c r="A44" s="9" t="s">
        <v>89</v>
      </c>
      <c r="B44" s="5">
        <v>45062</v>
      </c>
      <c r="C44" s="3" t="s">
        <v>118</v>
      </c>
      <c r="D44" s="3" t="s">
        <v>8</v>
      </c>
      <c r="E44" s="3" t="s">
        <v>90</v>
      </c>
      <c r="F44" s="3">
        <v>3</v>
      </c>
      <c r="G44" s="11">
        <v>4499.97</v>
      </c>
      <c r="H44" s="3"/>
      <c r="N44" s="1"/>
      <c r="O44" s="5"/>
      <c r="P44" s="3"/>
      <c r="Q44" s="3"/>
      <c r="R44" s="3"/>
      <c r="S44" s="3"/>
      <c r="T44" s="4"/>
      <c r="U44" s="4"/>
      <c r="V44" s="3"/>
    </row>
    <row r="45" spans="1:22" x14ac:dyDescent="0.3">
      <c r="A45" s="9" t="s">
        <v>91</v>
      </c>
      <c r="B45" s="5">
        <v>45065</v>
      </c>
      <c r="C45" s="3" t="s">
        <v>111</v>
      </c>
      <c r="D45" s="3" t="s">
        <v>11</v>
      </c>
      <c r="E45" s="3" t="s">
        <v>92</v>
      </c>
      <c r="F45" s="3">
        <v>2</v>
      </c>
      <c r="G45" s="10">
        <v>5999</v>
      </c>
      <c r="H45" s="3"/>
      <c r="N45" s="1"/>
      <c r="O45" s="5"/>
      <c r="P45" s="3"/>
      <c r="Q45" s="3"/>
      <c r="R45" s="3"/>
      <c r="S45" s="3"/>
      <c r="T45" s="4"/>
      <c r="U45" s="4"/>
      <c r="V45" s="3"/>
    </row>
    <row r="46" spans="1:22" x14ac:dyDescent="0.3">
      <c r="A46" s="9" t="s">
        <v>93</v>
      </c>
      <c r="B46" s="5">
        <v>45068</v>
      </c>
      <c r="C46" s="3" t="s">
        <v>112</v>
      </c>
      <c r="D46" s="3" t="s">
        <v>14</v>
      </c>
      <c r="E46" s="3" t="s">
        <v>94</v>
      </c>
      <c r="F46" s="3">
        <v>6</v>
      </c>
      <c r="G46" s="10">
        <v>1500</v>
      </c>
      <c r="H46" s="3"/>
      <c r="N46" s="1"/>
      <c r="O46" s="2"/>
      <c r="P46" s="3"/>
      <c r="Q46" s="3"/>
      <c r="R46" s="3"/>
      <c r="S46" s="3"/>
      <c r="T46" s="4"/>
      <c r="U46" s="4"/>
      <c r="V46" s="3"/>
    </row>
    <row r="47" spans="1:22" x14ac:dyDescent="0.3">
      <c r="A47" s="9" t="s">
        <v>95</v>
      </c>
      <c r="B47" s="5">
        <v>45071</v>
      </c>
      <c r="C47" s="3" t="s">
        <v>114</v>
      </c>
      <c r="D47" s="3" t="s">
        <v>8</v>
      </c>
      <c r="E47" s="3" t="s">
        <v>96</v>
      </c>
      <c r="F47" s="3">
        <v>2</v>
      </c>
      <c r="G47" s="11">
        <v>3999.98</v>
      </c>
      <c r="H47" s="3"/>
      <c r="N47" s="1"/>
      <c r="O47" s="2"/>
      <c r="P47" s="3"/>
      <c r="Q47" s="3"/>
      <c r="R47" s="3"/>
      <c r="S47" s="3"/>
      <c r="T47" s="4"/>
      <c r="U47" s="4"/>
      <c r="V47" s="3"/>
    </row>
    <row r="48" spans="1:22" x14ac:dyDescent="0.3">
      <c r="A48" s="9" t="s">
        <v>97</v>
      </c>
      <c r="B48" s="5">
        <v>45440</v>
      </c>
      <c r="C48" s="3" t="s">
        <v>115</v>
      </c>
      <c r="D48" s="3" t="s">
        <v>11</v>
      </c>
      <c r="E48" s="3" t="s">
        <v>98</v>
      </c>
      <c r="F48" s="3">
        <v>4</v>
      </c>
      <c r="G48" s="10">
        <v>5196</v>
      </c>
      <c r="H48" s="3"/>
      <c r="N48" s="1"/>
      <c r="O48" s="2"/>
      <c r="P48" s="3"/>
      <c r="Q48" s="3"/>
      <c r="R48" s="3"/>
      <c r="S48" s="3"/>
      <c r="T48" s="4"/>
      <c r="U48" s="4"/>
      <c r="V48" s="3"/>
    </row>
    <row r="49" spans="1:22" x14ac:dyDescent="0.3">
      <c r="A49" s="9" t="s">
        <v>99</v>
      </c>
      <c r="B49" s="5">
        <v>45443</v>
      </c>
      <c r="C49" s="3" t="s">
        <v>113</v>
      </c>
      <c r="D49" s="3" t="s">
        <v>14</v>
      </c>
      <c r="E49" s="3" t="s">
        <v>100</v>
      </c>
      <c r="F49" s="3">
        <v>3</v>
      </c>
      <c r="G49" s="10">
        <v>1650</v>
      </c>
      <c r="H49" s="3"/>
      <c r="N49" s="1"/>
      <c r="O49" s="2"/>
      <c r="P49" s="3"/>
      <c r="Q49" s="3"/>
      <c r="R49" s="3"/>
      <c r="S49" s="3"/>
      <c r="T49" s="3"/>
      <c r="U49" s="3"/>
      <c r="V49" s="3"/>
    </row>
    <row r="50" spans="1:22" x14ac:dyDescent="0.3">
      <c r="A50" s="9" t="s">
        <v>101</v>
      </c>
      <c r="B50" s="2">
        <v>44991</v>
      </c>
      <c r="C50" s="3" t="s">
        <v>110</v>
      </c>
      <c r="D50" s="3" t="s">
        <v>8</v>
      </c>
      <c r="E50" s="3" t="s">
        <v>102</v>
      </c>
      <c r="F50" s="3">
        <v>1</v>
      </c>
      <c r="G50" s="10">
        <v>65000</v>
      </c>
      <c r="H50" s="3"/>
      <c r="N50" s="1"/>
      <c r="O50" s="5"/>
      <c r="P50" s="3"/>
      <c r="Q50" s="3"/>
      <c r="R50" s="3"/>
      <c r="S50" s="3"/>
      <c r="T50" s="4"/>
      <c r="U50" s="4"/>
      <c r="V50" s="3"/>
    </row>
    <row r="51" spans="1:22" x14ac:dyDescent="0.3">
      <c r="A51" s="9" t="s">
        <v>103</v>
      </c>
      <c r="B51" s="2">
        <v>45083</v>
      </c>
      <c r="C51" s="3" t="s">
        <v>116</v>
      </c>
      <c r="D51" s="3" t="s">
        <v>11</v>
      </c>
      <c r="E51" s="3" t="s">
        <v>104</v>
      </c>
      <c r="F51" s="3">
        <v>7</v>
      </c>
      <c r="G51" s="11">
        <v>4500.93</v>
      </c>
      <c r="H51" s="3"/>
      <c r="N51" s="1"/>
      <c r="O51" s="5"/>
      <c r="P51" s="3"/>
      <c r="Q51" s="3"/>
      <c r="R51" s="3"/>
      <c r="S51" s="3"/>
      <c r="T51" s="3"/>
      <c r="U51" s="3"/>
      <c r="V51" s="3"/>
    </row>
    <row r="52" spans="1:22" x14ac:dyDescent="0.3">
      <c r="A52" s="9" t="s">
        <v>105</v>
      </c>
      <c r="B52" s="2">
        <v>45175</v>
      </c>
      <c r="C52" s="3" t="s">
        <v>112</v>
      </c>
      <c r="D52" s="3" t="s">
        <v>14</v>
      </c>
      <c r="E52" s="3" t="s">
        <v>106</v>
      </c>
      <c r="F52" s="3">
        <v>14</v>
      </c>
      <c r="G52" s="10">
        <v>1330</v>
      </c>
      <c r="H52" s="3"/>
      <c r="N52" s="1"/>
      <c r="O52" s="5"/>
      <c r="P52" s="3"/>
      <c r="Q52" s="3"/>
      <c r="R52" s="3"/>
      <c r="S52" s="3"/>
      <c r="T52" s="4"/>
      <c r="U52" s="4"/>
      <c r="V52" s="3"/>
    </row>
    <row r="53" spans="1:22" x14ac:dyDescent="0.3">
      <c r="A53" s="15" t="s">
        <v>107</v>
      </c>
      <c r="B53" s="16">
        <v>45632</v>
      </c>
      <c r="C53" s="17" t="s">
        <v>111</v>
      </c>
      <c r="D53" s="17" t="s">
        <v>8</v>
      </c>
      <c r="E53" s="17" t="s">
        <v>108</v>
      </c>
      <c r="F53" s="17">
        <v>2</v>
      </c>
      <c r="G53" s="18">
        <v>11998</v>
      </c>
      <c r="H53" s="3"/>
      <c r="N53" s="1"/>
      <c r="O53" s="5"/>
      <c r="P53" s="3"/>
      <c r="Q53" s="3"/>
      <c r="R53" s="3"/>
      <c r="S53" s="3"/>
      <c r="T53" s="4"/>
      <c r="U53" s="4"/>
      <c r="V53" s="3"/>
    </row>
    <row r="54" spans="1:22" x14ac:dyDescent="0.3">
      <c r="A54" s="1"/>
      <c r="B54" s="2"/>
      <c r="C54" s="2"/>
      <c r="D54" s="2"/>
      <c r="E54" s="3"/>
      <c r="F54" s="3"/>
      <c r="G54" s="4"/>
      <c r="H54" s="3"/>
      <c r="N54" s="1"/>
      <c r="O54" s="5"/>
      <c r="P54" s="3"/>
      <c r="Q54" s="3"/>
      <c r="R54" s="3"/>
      <c r="S54" s="3"/>
      <c r="T54" s="3"/>
      <c r="U54" s="3"/>
      <c r="V54" s="3"/>
    </row>
    <row r="55" spans="1:22" x14ac:dyDescent="0.3">
      <c r="A55" s="1"/>
      <c r="B55" s="2"/>
      <c r="C55" s="2"/>
      <c r="D55" s="2"/>
      <c r="E55" s="3"/>
      <c r="F55" s="3"/>
      <c r="G55" s="4"/>
      <c r="H55" s="3"/>
      <c r="N55" s="1"/>
      <c r="O55" s="5"/>
      <c r="P55" s="3"/>
      <c r="Q55" s="3"/>
      <c r="R55" s="3"/>
      <c r="S55" s="3"/>
      <c r="T55" s="4"/>
      <c r="U55" s="4"/>
      <c r="V55" s="3"/>
    </row>
    <row r="56" spans="1:22" x14ac:dyDescent="0.3">
      <c r="B56" s="8" t="s">
        <v>119</v>
      </c>
      <c r="C56" s="6"/>
      <c r="N56" s="1"/>
      <c r="O56" s="5"/>
      <c r="P56" s="3"/>
      <c r="Q56" s="3"/>
      <c r="R56" s="3"/>
      <c r="S56" s="3"/>
      <c r="T56" s="4"/>
      <c r="U56" s="4"/>
      <c r="V56" s="3"/>
    </row>
    <row r="57" spans="1:22" x14ac:dyDescent="0.3">
      <c r="B57" t="s">
        <v>120</v>
      </c>
      <c r="C57" s="7">
        <f>SUM(G4:G53)</f>
        <v>890492.63</v>
      </c>
      <c r="N57" s="1"/>
      <c r="O57" s="2"/>
      <c r="P57" s="3"/>
      <c r="Q57" s="3"/>
      <c r="R57" s="3"/>
      <c r="S57" s="3"/>
      <c r="T57" s="4"/>
      <c r="U57" s="4"/>
      <c r="V57" s="3"/>
    </row>
    <row r="58" spans="1:22" x14ac:dyDescent="0.3">
      <c r="B58" t="s">
        <v>124</v>
      </c>
      <c r="C58">
        <f>COUNTA(A4:A53)</f>
        <v>50</v>
      </c>
      <c r="N58" s="1"/>
      <c r="O58" s="2"/>
      <c r="P58" s="3"/>
      <c r="Q58" s="3"/>
      <c r="R58" s="3"/>
      <c r="S58" s="3"/>
      <c r="T58" s="3"/>
      <c r="U58" s="3"/>
      <c r="V58" s="3"/>
    </row>
    <row r="59" spans="1:22" x14ac:dyDescent="0.3">
      <c r="B59" t="s">
        <v>125</v>
      </c>
      <c r="C59">
        <f>SUM(F4:F53)</f>
        <v>256</v>
      </c>
      <c r="N59" s="1"/>
      <c r="O59" s="2"/>
      <c r="P59" s="3"/>
      <c r="Q59" s="3"/>
      <c r="R59" s="3"/>
      <c r="S59" s="3"/>
      <c r="T59" s="4"/>
      <c r="U59" s="4"/>
      <c r="V59" s="3"/>
    </row>
    <row r="60" spans="1:22" x14ac:dyDescent="0.3">
      <c r="B60" t="s">
        <v>121</v>
      </c>
      <c r="C60" s="7">
        <f>AVERAGE(G4:G53)</f>
        <v>17809.852599999998</v>
      </c>
      <c r="N60" s="1"/>
      <c r="O60" s="2"/>
      <c r="P60" s="3"/>
      <c r="Q60" s="3"/>
      <c r="R60" s="3"/>
      <c r="S60" s="3"/>
      <c r="T60" s="4"/>
      <c r="U60" s="4"/>
      <c r="V60" s="3"/>
    </row>
    <row r="61" spans="1:22" x14ac:dyDescent="0.3">
      <c r="B61" t="s">
        <v>122</v>
      </c>
      <c r="C61" s="7">
        <f>MAX(G4:G53)</f>
        <v>195000</v>
      </c>
    </row>
    <row r="62" spans="1:22" x14ac:dyDescent="0.3">
      <c r="B62" t="s">
        <v>123</v>
      </c>
      <c r="C62" s="7">
        <f>MIN(G4:G53)</f>
        <v>550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16E397-9665-411B-B712-776397D392E3}">
  <dimension ref="C7:D13"/>
  <sheetViews>
    <sheetView workbookViewId="0">
      <selection activeCell="C7" sqref="C7:D13"/>
    </sheetView>
  </sheetViews>
  <sheetFormatPr defaultRowHeight="14.4" x14ac:dyDescent="0.3"/>
  <cols>
    <col min="3" max="3" width="15.88671875" customWidth="1"/>
    <col min="4" max="4" width="14.77734375" customWidth="1"/>
  </cols>
  <sheetData>
    <row r="7" spans="3:4" x14ac:dyDescent="0.3">
      <c r="C7" s="6" t="s">
        <v>119</v>
      </c>
      <c r="D7" s="6"/>
    </row>
    <row r="8" spans="3:4" x14ac:dyDescent="0.3">
      <c r="C8" t="s">
        <v>120</v>
      </c>
      <c r="D8" s="7"/>
    </row>
    <row r="9" spans="3:4" x14ac:dyDescent="0.3">
      <c r="C9" t="s">
        <v>124</v>
      </c>
    </row>
    <row r="10" spans="3:4" x14ac:dyDescent="0.3">
      <c r="C10" t="s">
        <v>125</v>
      </c>
    </row>
    <row r="11" spans="3:4" x14ac:dyDescent="0.3">
      <c r="C11" t="s">
        <v>121</v>
      </c>
    </row>
    <row r="12" spans="3:4" x14ac:dyDescent="0.3">
      <c r="C12" t="s">
        <v>122</v>
      </c>
    </row>
    <row r="13" spans="3:4" x14ac:dyDescent="0.3">
      <c r="C13" t="s">
        <v>123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Namrata</dc:creator>
  <cp:lastModifiedBy>Namrata Tarapara</cp:lastModifiedBy>
  <dcterms:created xsi:type="dcterms:W3CDTF">2015-06-05T18:17:20Z</dcterms:created>
  <dcterms:modified xsi:type="dcterms:W3CDTF">2026-09-21T13:31:10Z</dcterms:modified>
</cp:coreProperties>
</file>