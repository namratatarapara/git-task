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12C28E86-AF62-4B0D-B144-3B0B53708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" l="1"/>
  <c r="O9" i="1"/>
  <c r="O10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<sst xmlns="http://schemas.openxmlformats.org/spreadsheetml/2006/main" count="200" uniqueCount="112">
  <si>
    <t>total</t>
  </si>
  <si>
    <t>ORD-2001</t>
  </si>
  <si>
    <t>CUST-0114</t>
  </si>
  <si>
    <t>Mechanical Keyboard</t>
  </si>
  <si>
    <t>ORD-2002</t>
  </si>
  <si>
    <t>Laptop Stand</t>
  </si>
  <si>
    <t>ORD-2003</t>
  </si>
  <si>
    <t>CUST-0038</t>
  </si>
  <si>
    <t>Standing Desk</t>
  </si>
  <si>
    <t>ORD-2004</t>
  </si>
  <si>
    <t>CUST-0198</t>
  </si>
  <si>
    <t>Wireless Mouse</t>
  </si>
  <si>
    <t>ORD-2005</t>
  </si>
  <si>
    <t>CUST-0079</t>
  </si>
  <si>
    <t>Ergonomic Chair</t>
  </si>
  <si>
    <t>ORD-2006</t>
  </si>
  <si>
    <t>CUST-0102</t>
  </si>
  <si>
    <t>ORD-2007</t>
  </si>
  <si>
    <t>CUST-0077</t>
  </si>
  <si>
    <t>Noise-Cancelling Headphones</t>
  </si>
  <si>
    <t>ORD-2008</t>
  </si>
  <si>
    <t>CUST-0190</t>
  </si>
  <si>
    <t>Cable Organizer</t>
  </si>
  <si>
    <t>ORD-2009</t>
  </si>
  <si>
    <t>CUST-0143</t>
  </si>
  <si>
    <t>Desk Lamp</t>
  </si>
  <si>
    <t>ORD-2010</t>
  </si>
  <si>
    <t>Webcam 1080p</t>
  </si>
  <si>
    <t>ORD-2011</t>
  </si>
  <si>
    <t>CUST-0040</t>
  </si>
  <si>
    <t>ORD-2012</t>
  </si>
  <si>
    <t>CUST-0118</t>
  </si>
  <si>
    <t>ORD-2013</t>
  </si>
  <si>
    <t>CUST-0112</t>
  </si>
  <si>
    <t>ORD-2014</t>
  </si>
  <si>
    <t>CUST-0006</t>
  </si>
  <si>
    <t>External SSD 1TB</t>
  </si>
  <si>
    <t>ORD-2015</t>
  </si>
  <si>
    <t>CUST-0147</t>
  </si>
  <si>
    <t>ORD-2016</t>
  </si>
  <si>
    <t>CUST-0070</t>
  </si>
  <si>
    <t>ORD-2017</t>
  </si>
  <si>
    <t>ORD-2018</t>
  </si>
  <si>
    <t>CUST-0030</t>
  </si>
  <si>
    <t>ORD-2019</t>
  </si>
  <si>
    <t>CUST-0171</t>
  </si>
  <si>
    <t>ORD-2020</t>
  </si>
  <si>
    <t>ORD-2021</t>
  </si>
  <si>
    <t>CUST-0172</t>
  </si>
  <si>
    <t>ORD-2022</t>
  </si>
  <si>
    <t>ORD-2023</t>
  </si>
  <si>
    <t>CUST-0197</t>
  </si>
  <si>
    <t>ORD-2024</t>
  </si>
  <si>
    <t>CUST-0151</t>
  </si>
  <si>
    <t>USB-C Hub</t>
  </si>
  <si>
    <t>ORD-2025</t>
  </si>
  <si>
    <t>CUST-0032</t>
  </si>
  <si>
    <t>ORD-2026</t>
  </si>
  <si>
    <t>CUST-0076</t>
  </si>
  <si>
    <t>ORD-2027</t>
  </si>
  <si>
    <t>CUST-0163</t>
  </si>
  <si>
    <t>27-inch Monitor</t>
  </si>
  <si>
    <t>ORD-2028</t>
  </si>
  <si>
    <t>CUST-0044</t>
  </si>
  <si>
    <t>ORD-2029</t>
  </si>
  <si>
    <t>ORD-2030</t>
  </si>
  <si>
    <t>CUST-0183</t>
  </si>
  <si>
    <t>ORD-2031</t>
  </si>
  <si>
    <t>ORD-2032</t>
  </si>
  <si>
    <t>ORD-2033</t>
  </si>
  <si>
    <t>CUST-0192</t>
  </si>
  <si>
    <t>ORD-2034</t>
  </si>
  <si>
    <t>ORD-2035</t>
  </si>
  <si>
    <t>ORD-2036</t>
  </si>
  <si>
    <t>CUST-0052</t>
  </si>
  <si>
    <t>ORD-2037</t>
  </si>
  <si>
    <t>ORD-2038</t>
  </si>
  <si>
    <t>CUST-0083</t>
  </si>
  <si>
    <t>ORD-2039</t>
  </si>
  <si>
    <t>CUST-0187</t>
  </si>
  <si>
    <t>ORD-2040</t>
  </si>
  <si>
    <t>CUST-0089</t>
  </si>
  <si>
    <t>ORD-2041</t>
  </si>
  <si>
    <t>CUST-0095</t>
  </si>
  <si>
    <t>ORD-2042</t>
  </si>
  <si>
    <t>ORD-2043</t>
  </si>
  <si>
    <t>CUST-0012</t>
  </si>
  <si>
    <t>ORD-2044</t>
  </si>
  <si>
    <t>ORD-2045</t>
  </si>
  <si>
    <t>ORD-2046</t>
  </si>
  <si>
    <t>CUST-0148</t>
  </si>
  <si>
    <t>ORD-2047</t>
  </si>
  <si>
    <t>CUST-0106</t>
  </si>
  <si>
    <t>ORD-2048</t>
  </si>
  <si>
    <t>ORD-2049</t>
  </si>
  <si>
    <t>CUST-0175</t>
  </si>
  <si>
    <t>ORD-2050</t>
  </si>
  <si>
    <t>CUST-0075</t>
  </si>
  <si>
    <t>Customer ID</t>
  </si>
  <si>
    <t>Total Orders</t>
  </si>
  <si>
    <t>Total Spending</t>
  </si>
  <si>
    <t>Customer Value</t>
  </si>
  <si>
    <t>Customer value</t>
  </si>
  <si>
    <t>Order_Id</t>
  </si>
  <si>
    <t>Customer_Id</t>
  </si>
  <si>
    <t>Date</t>
  </si>
  <si>
    <t>Product</t>
  </si>
  <si>
    <t>Quantity</t>
  </si>
  <si>
    <t>Customer Count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</si>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</sst>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A9A8F8-BFC0-4645-8C13-58CABDE1FA08}" name="Table2" displayName="Table2" ref="A3:F53" totalsRowShown="0">
  <tableColumns count="6">
    <tableColumn id="1" xr3:uid="{033736E0-9C85-4EBB-8ADC-9DCC17E12761}" name="Order_Id"/>
    <tableColumn id="2" xr3:uid="{3F35834C-FB5D-452A-84BF-550A421599F9}" name="Customer_Id"/>
    <tableColumn id="3" xr3:uid="{036A1079-436A-4644-89BD-96CED823AA9A}" name="Date" dataDxfId="5"/>
    <tableColumn id="4" xr3:uid="{912F04ED-C466-4C8B-ABA4-D94AD073E12F}" name="Product"/>
    <tableColumn id="5" xr3:uid="{61AFE408-5A20-4BA2-9DBA-8A9977BB1F62}" name="Quantity"/>
    <tableColumn id="6" xr3:uid="{8A08726A-1A40-471D-AB8E-4AEA85AC3AD3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79BD0F-4DD7-4D79-B383-F51E8B35709D}" name="Table3" displayName="Table3" ref="I3:L38" totalsRowShown="0">
  <tableColumns count="4">
    <tableColumn id="1" xr3:uid="{FFCA0078-F17C-47D5-9D88-4EBF38F924F9}" name="Customer ID" dataDxfId="4"/>
    <tableColumn id="2" xr3:uid="{79510D44-7605-4243-8C4A-D916858ACCC0}" name="Total Orders" dataDxfId="3">
      <calculatedColumnFormula>COUNTIF(B4:B53,"CUST-0114")</calculatedColumnFormula>
    </tableColumn>
    <tableColumn id="3" xr3:uid="{EDA23B12-5407-453E-B690-0E4E3A3A0FA1}" name="Total Spending" dataDxfId="2">
      <calculatedColumnFormula>SUMIF(B4:B53,"CUST-0114",F4:F53)</calculatedColumnFormula>
    </tableColumn>
    <tableColumn id="4" xr3:uid="{098D78F8-A730-4AD4-A339-BED698EEF6C2}" name="Customer Value" dataDxfId="1">
      <calculatedColumnFormula>IF(K4&gt;=2000,"High",IF(K4&gt;=1000,"Medium","Low"))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2C18DE-9A20-4065-B160-8B01E14E1355}" name="Table5" displayName="Table5" ref="N8:O11" totalsRowShown="0">
  <tableColumns count="2">
    <tableColumn id="1" xr3:uid="{87DA6FA4-2FEA-4167-9D09-F7008A0A5B06}" name="Customer value"/>
    <tableColumn id="2" xr3:uid="{F2DDFFF8-647F-4DE3-87A4-E7D51868323E}" name="Customer Count" dataDxfId="0">
      <calculatedColumnFormula>COUNTIF(L3:L37,"Medium")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3:O53"/>
  <sheetViews>
    <sheetView tabSelected="1" workbookViewId="0">
      <selection activeCell="G17" sqref="G17"/>
    </sheetView>
  </sheetViews>
  <sheetFormatPr defaultRowHeight="14.4" x14ac:dyDescent="0.3"/>
  <cols>
    <col min="1" max="1" width="12.6640625" customWidth="1"/>
    <col min="2" max="2" width="14.33203125" customWidth="1"/>
    <col min="3" max="3" width="15.44140625" customWidth="1"/>
    <col min="4" max="4" width="28.5546875" customWidth="1"/>
    <col min="5" max="5" width="10" customWidth="1"/>
    <col min="9" max="9" width="26" customWidth="1"/>
    <col min="10" max="10" width="13.88671875" customWidth="1"/>
    <col min="11" max="11" width="17.88671875" customWidth="1"/>
    <col min="12" max="12" width="17.5546875" customWidth="1"/>
    <col min="14" max="14" width="18.109375" customWidth="1"/>
    <col min="15" max="15" width="20.77734375" customWidth="1"/>
  </cols>
  <sheetData>
    <row r="3" spans="1:15" x14ac:dyDescent="0.3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0</v>
      </c>
      <c r="I3" t="s">
        <v>98</v>
      </c>
      <c r="J3" t="s">
        <v>99</v>
      </c>
      <c r="K3" t="s">
        <v>100</v>
      </c>
      <c r="L3" t="s">
        <v>101</v>
      </c>
    </row>
    <row r="4" spans="1:15" x14ac:dyDescent="0.3">
      <c r="A4" t="s">
        <v>1</v>
      </c>
      <c r="B4" t="s">
        <v>2</v>
      </c>
      <c r="C4" s="1">
        <v>46203</v>
      </c>
      <c r="D4" t="s">
        <v>3</v>
      </c>
      <c r="E4">
        <v>4</v>
      </c>
      <c r="F4">
        <v>1122.8</v>
      </c>
      <c r="I4" t="s">
        <v>2</v>
      </c>
      <c r="J4">
        <f t="shared" ref="J4" si="0">COUNTIF(B4:B53,"CUST-0114")</f>
        <v>2</v>
      </c>
      <c r="K4">
        <f t="shared" ref="K4:K38" si="1">SUMIF(B4:B53,"CUST-0114",F4:F53)</f>
        <v>1414.8799999999999</v>
      </c>
      <c r="L4" t="str">
        <f t="shared" ref="L4:L38" si="2">IF(K4&gt;=2000,"High",IF(K4&gt;=1000,"Medium","Low"))</f>
        <v>Medium</v>
      </c>
    </row>
    <row r="5" spans="1:15" x14ac:dyDescent="0.3">
      <c r="A5" t="s">
        <v>4</v>
      </c>
      <c r="B5" t="s">
        <v>2</v>
      </c>
      <c r="C5" s="1">
        <v>46138</v>
      </c>
      <c r="D5" t="s">
        <v>5</v>
      </c>
      <c r="E5">
        <v>3</v>
      </c>
      <c r="F5">
        <v>292.08</v>
      </c>
      <c r="I5" t="s">
        <v>7</v>
      </c>
      <c r="J5">
        <f>COUNTIF(B4:B53,"CUST-0038")</f>
        <v>1</v>
      </c>
      <c r="K5">
        <f>SUMIF(B4:B53,"CUST-0038",F4:F53)</f>
        <v>749.45</v>
      </c>
      <c r="L5" t="str">
        <f t="shared" si="2"/>
        <v>Low</v>
      </c>
    </row>
    <row r="6" spans="1:15" x14ac:dyDescent="0.3">
      <c r="A6" t="s">
        <v>6</v>
      </c>
      <c r="B6" t="s">
        <v>7</v>
      </c>
      <c r="C6" s="1">
        <v>46194</v>
      </c>
      <c r="D6" t="s">
        <v>8</v>
      </c>
      <c r="E6">
        <v>5</v>
      </c>
      <c r="F6">
        <v>749.45</v>
      </c>
      <c r="I6" t="s">
        <v>10</v>
      </c>
      <c r="J6">
        <f>COUNTIF(B4:B53,"CUST-0198")</f>
        <v>1</v>
      </c>
      <c r="K6">
        <f>SUMIF(B4:B53,"CUST-0198",F4:F53)</f>
        <v>500.38</v>
      </c>
      <c r="L6" t="str">
        <f t="shared" si="2"/>
        <v>Low</v>
      </c>
    </row>
    <row r="7" spans="1:15" x14ac:dyDescent="0.3">
      <c r="A7" t="s">
        <v>9</v>
      </c>
      <c r="B7" t="s">
        <v>10</v>
      </c>
      <c r="C7" s="1">
        <v>46147</v>
      </c>
      <c r="D7" t="s">
        <v>11</v>
      </c>
      <c r="E7">
        <v>2</v>
      </c>
      <c r="F7">
        <v>500.38</v>
      </c>
      <c r="I7" t="s">
        <v>13</v>
      </c>
      <c r="J7">
        <f>COUNTIF(B4:B53,"CUST-0079")</f>
        <v>1</v>
      </c>
      <c r="K7">
        <f>SUMIF(B4:B53,"CUST-0079",F4:F53)</f>
        <v>121.39</v>
      </c>
      <c r="L7" t="str">
        <f t="shared" si="2"/>
        <v>Low</v>
      </c>
    </row>
    <row r="8" spans="1:15" x14ac:dyDescent="0.3">
      <c r="A8" t="s">
        <v>12</v>
      </c>
      <c r="B8" t="s">
        <v>13</v>
      </c>
      <c r="C8" s="1">
        <v>46116</v>
      </c>
      <c r="D8" t="s">
        <v>14</v>
      </c>
      <c r="E8">
        <v>1</v>
      </c>
      <c r="F8">
        <v>121.39</v>
      </c>
      <c r="I8" t="s">
        <v>16</v>
      </c>
      <c r="J8">
        <f>COUNTIF(B4:B53,"CUST-0102")</f>
        <v>1</v>
      </c>
      <c r="K8">
        <f>SUMIF(B4:B53,"CUST-0102",F4:F53)</f>
        <v>828.96</v>
      </c>
      <c r="L8" t="str">
        <f t="shared" si="2"/>
        <v>Low</v>
      </c>
      <c r="N8" t="s">
        <v>102</v>
      </c>
      <c r="O8" t="s">
        <v>108</v>
      </c>
    </row>
    <row r="9" spans="1:15" x14ac:dyDescent="0.3">
      <c r="A9" t="s">
        <v>15</v>
      </c>
      <c r="B9" t="s">
        <v>16</v>
      </c>
      <c r="C9" s="1">
        <v>46172</v>
      </c>
      <c r="D9" t="s">
        <v>5</v>
      </c>
      <c r="E9">
        <v>3</v>
      </c>
      <c r="F9">
        <v>828.96</v>
      </c>
      <c r="I9" t="s">
        <v>18</v>
      </c>
      <c r="J9">
        <f>COUNTIF(B4:B53,"CUST-0077")</f>
        <v>2</v>
      </c>
      <c r="K9">
        <f>SUMIF(B4:B53,"CUST-0077",F4:F53)</f>
        <v>174.27</v>
      </c>
      <c r="L9" t="str">
        <f t="shared" si="2"/>
        <v>Low</v>
      </c>
      <c r="N9" t="s">
        <v>109</v>
      </c>
      <c r="O9">
        <f>COUNTIF(L3:L37,"High")</f>
        <v>2</v>
      </c>
    </row>
    <row r="10" spans="1:15" x14ac:dyDescent="0.3">
      <c r="A10" t="s">
        <v>17</v>
      </c>
      <c r="B10" t="s">
        <v>18</v>
      </c>
      <c r="C10" s="1">
        <v>46127</v>
      </c>
      <c r="D10" t="s">
        <v>19</v>
      </c>
      <c r="E10">
        <v>2</v>
      </c>
      <c r="F10">
        <v>93.68</v>
      </c>
      <c r="I10" t="s">
        <v>21</v>
      </c>
      <c r="J10">
        <f>COUNTIF(B4:B53,"CUST-0190")</f>
        <v>1</v>
      </c>
      <c r="K10">
        <f>SUMIF(B4:B53,"CUST-0190",F4:F53)</f>
        <v>42.87</v>
      </c>
      <c r="L10" t="str">
        <f t="shared" si="2"/>
        <v>Low</v>
      </c>
      <c r="N10" t="s">
        <v>110</v>
      </c>
      <c r="O10">
        <f t="shared" ref="O9:O11" si="3">COUNTIF(L4:L38,"Medium")</f>
        <v>9</v>
      </c>
    </row>
    <row r="11" spans="1:15" x14ac:dyDescent="0.3">
      <c r="A11" t="s">
        <v>20</v>
      </c>
      <c r="B11" t="s">
        <v>21</v>
      </c>
      <c r="C11" s="1">
        <v>46157</v>
      </c>
      <c r="D11" t="s">
        <v>22</v>
      </c>
      <c r="E11">
        <v>1</v>
      </c>
      <c r="F11">
        <v>42.87</v>
      </c>
      <c r="I11" t="s">
        <v>24</v>
      </c>
      <c r="J11">
        <f>COUNTIF(B4:B53,"CUST-0143")</f>
        <v>1</v>
      </c>
      <c r="K11">
        <f>SUMIF(B4:B53,"CUST-0143",F4:F53)</f>
        <v>1409.55</v>
      </c>
      <c r="L11" t="str">
        <f t="shared" si="2"/>
        <v>Medium</v>
      </c>
      <c r="N11" t="s">
        <v>111</v>
      </c>
      <c r="O11">
        <f>COUNTIF(L4:L38,"Low")</f>
        <v>24</v>
      </c>
    </row>
    <row r="12" spans="1:15" x14ac:dyDescent="0.3">
      <c r="A12" t="s">
        <v>23</v>
      </c>
      <c r="B12" t="s">
        <v>24</v>
      </c>
      <c r="C12" s="1">
        <v>46209</v>
      </c>
      <c r="D12" t="s">
        <v>25</v>
      </c>
      <c r="E12">
        <v>5</v>
      </c>
      <c r="F12">
        <v>1409.55</v>
      </c>
      <c r="I12" t="s">
        <v>29</v>
      </c>
      <c r="J12">
        <f>COUNTIF(B4:B53,"CUST-0040")</f>
        <v>1</v>
      </c>
      <c r="K12">
        <f>SUMIF(B4:B53,"CUST-0040",F4:F53)</f>
        <v>1331.6</v>
      </c>
      <c r="L12" t="str">
        <f t="shared" si="2"/>
        <v>Medium</v>
      </c>
    </row>
    <row r="13" spans="1:15" x14ac:dyDescent="0.3">
      <c r="A13" t="s">
        <v>26</v>
      </c>
      <c r="B13" t="s">
        <v>18</v>
      </c>
      <c r="C13" s="1">
        <v>46221</v>
      </c>
      <c r="D13" t="s">
        <v>27</v>
      </c>
      <c r="E13">
        <v>1</v>
      </c>
      <c r="F13">
        <v>80.59</v>
      </c>
      <c r="I13" t="s">
        <v>31</v>
      </c>
      <c r="J13">
        <f>COUNTIF(B4:B53,"CUST-0118")</f>
        <v>1</v>
      </c>
      <c r="K13">
        <f>SUMIF(B4:B53,"CUST-0118",F4:F53)</f>
        <v>141.47999999999999</v>
      </c>
      <c r="L13" t="str">
        <f t="shared" si="2"/>
        <v>Low</v>
      </c>
    </row>
    <row r="14" spans="1:15" x14ac:dyDescent="0.3">
      <c r="A14" t="s">
        <v>28</v>
      </c>
      <c r="B14" t="s">
        <v>29</v>
      </c>
      <c r="C14" s="1">
        <v>46110</v>
      </c>
      <c r="D14" t="s">
        <v>8</v>
      </c>
      <c r="E14">
        <v>5</v>
      </c>
      <c r="F14">
        <v>1331.6</v>
      </c>
      <c r="I14" t="s">
        <v>33</v>
      </c>
      <c r="J14">
        <f>COUNTIF(B4:B53,"CUST-0112")</f>
        <v>1</v>
      </c>
      <c r="K14">
        <f>SUMIF(B4:B53,"CUST-0112",F4:F53)</f>
        <v>119.86</v>
      </c>
      <c r="L14" t="str">
        <f t="shared" si="2"/>
        <v>Low</v>
      </c>
    </row>
    <row r="15" spans="1:15" x14ac:dyDescent="0.3">
      <c r="A15" t="s">
        <v>30</v>
      </c>
      <c r="B15" t="s">
        <v>31</v>
      </c>
      <c r="C15" s="1">
        <v>46160</v>
      </c>
      <c r="D15" t="s">
        <v>14</v>
      </c>
      <c r="E15">
        <v>3</v>
      </c>
      <c r="F15">
        <v>141.47999999999999</v>
      </c>
      <c r="I15" t="s">
        <v>35</v>
      </c>
      <c r="J15">
        <f>COUNTIF(B4:B53,"CUST-0006")</f>
        <v>5</v>
      </c>
      <c r="K15">
        <f>SUMIF(B4:B53,"CUST-0006",F4:F53)</f>
        <v>2427.1899999999996</v>
      </c>
      <c r="L15" t="str">
        <f t="shared" si="2"/>
        <v>High</v>
      </c>
    </row>
    <row r="16" spans="1:15" x14ac:dyDescent="0.3">
      <c r="A16" t="s">
        <v>32</v>
      </c>
      <c r="B16" t="s">
        <v>33</v>
      </c>
      <c r="C16" s="1">
        <v>46039</v>
      </c>
      <c r="D16" t="s">
        <v>19</v>
      </c>
      <c r="E16">
        <v>1</v>
      </c>
      <c r="F16">
        <v>119.86</v>
      </c>
      <c r="I16" t="s">
        <v>38</v>
      </c>
      <c r="J16">
        <f>COUNTIF(B4:B53,"CUST-0147")</f>
        <v>1</v>
      </c>
      <c r="K16">
        <f>SUMIF(B4:B53,"CUST-0147",F4:F53)</f>
        <v>125.77</v>
      </c>
      <c r="L16" t="str">
        <f t="shared" si="2"/>
        <v>Low</v>
      </c>
    </row>
    <row r="17" spans="1:12" x14ac:dyDescent="0.3">
      <c r="A17" t="s">
        <v>34</v>
      </c>
      <c r="B17" t="s">
        <v>35</v>
      </c>
      <c r="C17" s="1">
        <v>46121</v>
      </c>
      <c r="D17" t="s">
        <v>36</v>
      </c>
      <c r="E17">
        <v>2</v>
      </c>
      <c r="F17">
        <v>93.46</v>
      </c>
      <c r="I17" t="s">
        <v>40</v>
      </c>
      <c r="J17">
        <f>COUNTIF(B4:B53,"Cust-0070")</f>
        <v>1</v>
      </c>
      <c r="K17">
        <f>SUMIF(B4:B53,"CUST-0070",F4:F53)</f>
        <v>1191.24</v>
      </c>
      <c r="L17" t="str">
        <f t="shared" si="2"/>
        <v>Medium</v>
      </c>
    </row>
    <row r="18" spans="1:12" x14ac:dyDescent="0.3">
      <c r="A18" t="s">
        <v>37</v>
      </c>
      <c r="B18" t="s">
        <v>38</v>
      </c>
      <c r="C18" s="1">
        <v>46191</v>
      </c>
      <c r="D18" t="s">
        <v>14</v>
      </c>
      <c r="E18">
        <v>1</v>
      </c>
      <c r="F18">
        <v>125.77</v>
      </c>
      <c r="I18" t="s">
        <v>43</v>
      </c>
      <c r="J18">
        <f>COUNTIF(B4:B53,"CUST-0030")</f>
        <v>1</v>
      </c>
      <c r="K18">
        <f>SUMIF(B4:B53,"CUST-0030",F4:F53)</f>
        <v>837.57</v>
      </c>
      <c r="L18" t="str">
        <f t="shared" si="2"/>
        <v>Low</v>
      </c>
    </row>
    <row r="19" spans="1:12" x14ac:dyDescent="0.3">
      <c r="A19" t="s">
        <v>39</v>
      </c>
      <c r="B19" t="s">
        <v>40</v>
      </c>
      <c r="C19" s="1">
        <v>46165</v>
      </c>
      <c r="D19" t="s">
        <v>3</v>
      </c>
      <c r="E19">
        <v>4</v>
      </c>
      <c r="F19">
        <v>1191.24</v>
      </c>
      <c r="I19" t="s">
        <v>45</v>
      </c>
      <c r="J19">
        <f>COUNTIF(B4:B53,"CUST-0171")</f>
        <v>2</v>
      </c>
      <c r="K19">
        <f>SUMIF(B4:B53,"CUST-0171",F4:F53)</f>
        <v>1154.6199999999999</v>
      </c>
      <c r="L19" t="str">
        <f t="shared" si="2"/>
        <v>Medium</v>
      </c>
    </row>
    <row r="20" spans="1:12" x14ac:dyDescent="0.3">
      <c r="A20" t="s">
        <v>41</v>
      </c>
      <c r="B20" t="s">
        <v>35</v>
      </c>
      <c r="C20" s="1">
        <v>46191</v>
      </c>
      <c r="D20" t="s">
        <v>27</v>
      </c>
      <c r="E20">
        <v>2</v>
      </c>
      <c r="F20">
        <v>540.16</v>
      </c>
      <c r="I20" t="s">
        <v>48</v>
      </c>
      <c r="J20">
        <f>COUNTIF(B4:B53,"CUST-0172")</f>
        <v>1</v>
      </c>
      <c r="K20">
        <f>SUMIF(B4:B53,"CUST-0172",F4:F53)</f>
        <v>581.17999999999995</v>
      </c>
      <c r="L20" t="str">
        <f t="shared" si="2"/>
        <v>Low</v>
      </c>
    </row>
    <row r="21" spans="1:12" x14ac:dyDescent="0.3">
      <c r="A21" t="s">
        <v>42</v>
      </c>
      <c r="B21" t="s">
        <v>43</v>
      </c>
      <c r="C21" s="1">
        <v>46110</v>
      </c>
      <c r="D21" t="s">
        <v>19</v>
      </c>
      <c r="E21">
        <v>3</v>
      </c>
      <c r="F21">
        <v>837.57</v>
      </c>
      <c r="I21" t="s">
        <v>51</v>
      </c>
      <c r="J21">
        <f>COUNTIF(B4:B53,"CUST-0197")</f>
        <v>1</v>
      </c>
      <c r="K21">
        <f>SUMIF(B4:B53,"CUST-0197",F4:F53)</f>
        <v>164.25</v>
      </c>
      <c r="L21" t="str">
        <f t="shared" si="2"/>
        <v>Low</v>
      </c>
    </row>
    <row r="22" spans="1:12" x14ac:dyDescent="0.3">
      <c r="A22" t="s">
        <v>44</v>
      </c>
      <c r="B22" t="s">
        <v>45</v>
      </c>
      <c r="C22" s="1">
        <v>46114</v>
      </c>
      <c r="D22" t="s">
        <v>22</v>
      </c>
      <c r="E22">
        <v>3</v>
      </c>
      <c r="F22">
        <v>793.86</v>
      </c>
      <c r="I22" t="s">
        <v>53</v>
      </c>
      <c r="J22">
        <f>COUNTIF(B4:B53,"CUST-0151")</f>
        <v>1</v>
      </c>
      <c r="K22">
        <f>SUMIF(B4:B53,"CUST-0151",F4:F53)</f>
        <v>165.68</v>
      </c>
      <c r="L22" t="str">
        <f t="shared" si="2"/>
        <v>Low</v>
      </c>
    </row>
    <row r="23" spans="1:12" x14ac:dyDescent="0.3">
      <c r="A23" t="s">
        <v>46</v>
      </c>
      <c r="B23" t="s">
        <v>35</v>
      </c>
      <c r="C23" s="1">
        <v>46091</v>
      </c>
      <c r="D23" t="s">
        <v>25</v>
      </c>
      <c r="E23">
        <v>5</v>
      </c>
      <c r="F23">
        <v>877</v>
      </c>
      <c r="I23" t="s">
        <v>56</v>
      </c>
      <c r="J23">
        <f>COUNTIF(B4:B53,"CUST-0032")</f>
        <v>1</v>
      </c>
      <c r="K23">
        <f>SUMIF(B4:B53,"CUST-0032",F4:F53)</f>
        <v>596.91999999999996</v>
      </c>
      <c r="L23" t="str">
        <f t="shared" si="2"/>
        <v>Low</v>
      </c>
    </row>
    <row r="24" spans="1:12" x14ac:dyDescent="0.3">
      <c r="A24" t="s">
        <v>47</v>
      </c>
      <c r="B24" t="s">
        <v>48</v>
      </c>
      <c r="C24" s="1">
        <v>46107</v>
      </c>
      <c r="D24" t="s">
        <v>22</v>
      </c>
      <c r="E24">
        <v>2</v>
      </c>
      <c r="F24">
        <v>581.17999999999995</v>
      </c>
      <c r="I24" t="s">
        <v>58</v>
      </c>
      <c r="J24">
        <f>COUNTIF(B4:B53,"CUST-0076")</f>
        <v>6</v>
      </c>
      <c r="K24">
        <f>SUMIF(B4:B53,"CUST-0076",F4:F53)</f>
        <v>3572.0899999999997</v>
      </c>
      <c r="L24" t="str">
        <f t="shared" si="2"/>
        <v>High</v>
      </c>
    </row>
    <row r="25" spans="1:12" x14ac:dyDescent="0.3">
      <c r="A25" t="s">
        <v>49</v>
      </c>
      <c r="B25" t="s">
        <v>35</v>
      </c>
      <c r="C25" s="1">
        <v>46168</v>
      </c>
      <c r="D25" t="s">
        <v>19</v>
      </c>
      <c r="E25">
        <v>2</v>
      </c>
      <c r="F25">
        <v>134.80000000000001</v>
      </c>
      <c r="I25" t="s">
        <v>60</v>
      </c>
      <c r="J25">
        <f>COUNTIF(B4:B53,"CUST-0163")</f>
        <v>1</v>
      </c>
      <c r="K25">
        <f>SUMIF(B4:B53,"CUST-0163",F4:F53)</f>
        <v>188.28</v>
      </c>
      <c r="L25" t="str">
        <f t="shared" si="2"/>
        <v>Low</v>
      </c>
    </row>
    <row r="26" spans="1:12" x14ac:dyDescent="0.3">
      <c r="A26" t="s">
        <v>50</v>
      </c>
      <c r="B26" t="s">
        <v>51</v>
      </c>
      <c r="C26" s="1">
        <v>46142</v>
      </c>
      <c r="D26" t="s">
        <v>19</v>
      </c>
      <c r="E26">
        <v>1</v>
      </c>
      <c r="F26">
        <v>164.25</v>
      </c>
      <c r="I26" t="s">
        <v>63</v>
      </c>
      <c r="J26">
        <f>COUNTIF(B4:B53,"CUST-0044")</f>
        <v>2</v>
      </c>
      <c r="K26">
        <f>SUMIF(B4:B53,"CUST-0044",F4:F53)</f>
        <v>1167.22</v>
      </c>
      <c r="L26" t="str">
        <f t="shared" si="2"/>
        <v>Medium</v>
      </c>
    </row>
    <row r="27" spans="1:12" x14ac:dyDescent="0.3">
      <c r="A27" t="s">
        <v>52</v>
      </c>
      <c r="B27" t="s">
        <v>53</v>
      </c>
      <c r="C27" s="1">
        <v>46044</v>
      </c>
      <c r="D27" t="s">
        <v>54</v>
      </c>
      <c r="E27">
        <v>4</v>
      </c>
      <c r="F27">
        <v>165.68</v>
      </c>
      <c r="I27" t="s">
        <v>66</v>
      </c>
      <c r="J27">
        <f>COUNTIF(B4:B53,"CUST-0183")</f>
        <v>1</v>
      </c>
      <c r="K27">
        <f>SUMIF(B4:B53,"CUST-0183",F4:F53)</f>
        <v>275.85000000000002</v>
      </c>
      <c r="L27" t="str">
        <f t="shared" si="2"/>
        <v>Low</v>
      </c>
    </row>
    <row r="28" spans="1:12" x14ac:dyDescent="0.3">
      <c r="A28" t="s">
        <v>55</v>
      </c>
      <c r="B28" t="s">
        <v>56</v>
      </c>
      <c r="C28" s="1">
        <v>46129</v>
      </c>
      <c r="D28" t="s">
        <v>36</v>
      </c>
      <c r="E28">
        <v>2</v>
      </c>
      <c r="F28">
        <v>596.91999999999996</v>
      </c>
      <c r="I28" t="s">
        <v>70</v>
      </c>
      <c r="J28">
        <f>COUNTIF(B4:B53,"CUST-0192")</f>
        <v>1</v>
      </c>
      <c r="K28">
        <f>SUMIF(B4:B53,"CUST-0192",F4:F53)</f>
        <v>94.52</v>
      </c>
      <c r="L28" t="str">
        <f t="shared" si="2"/>
        <v>Low</v>
      </c>
    </row>
    <row r="29" spans="1:12" x14ac:dyDescent="0.3">
      <c r="A29" t="s">
        <v>57</v>
      </c>
      <c r="B29" t="s">
        <v>58</v>
      </c>
      <c r="C29" s="1">
        <v>46056</v>
      </c>
      <c r="D29" t="s">
        <v>11</v>
      </c>
      <c r="E29">
        <v>1</v>
      </c>
      <c r="F29">
        <v>18.46</v>
      </c>
      <c r="I29" t="s">
        <v>74</v>
      </c>
      <c r="J29">
        <f>COUNTIF(B4:B53,"CUST-0052")</f>
        <v>1</v>
      </c>
      <c r="K29">
        <f>SUMIF(B4:B53,"CUST-0052",F4:F53)</f>
        <v>616.44000000000005</v>
      </c>
      <c r="L29" t="str">
        <f t="shared" si="2"/>
        <v>Low</v>
      </c>
    </row>
    <row r="30" spans="1:12" x14ac:dyDescent="0.3">
      <c r="A30" t="s">
        <v>59</v>
      </c>
      <c r="B30" t="s">
        <v>60</v>
      </c>
      <c r="C30" s="1">
        <v>46078</v>
      </c>
      <c r="D30" t="s">
        <v>61</v>
      </c>
      <c r="E30">
        <v>1</v>
      </c>
      <c r="F30">
        <v>188.28</v>
      </c>
      <c r="I30" t="s">
        <v>77</v>
      </c>
      <c r="J30">
        <f>COUNTIF(B4:B53,"CUST-0083")</f>
        <v>1</v>
      </c>
      <c r="K30">
        <f>SUMIF(B4:B53,"CUST-0083",F4:F53)</f>
        <v>573.84</v>
      </c>
      <c r="L30" t="str">
        <f t="shared" si="2"/>
        <v>Low</v>
      </c>
    </row>
    <row r="31" spans="1:12" x14ac:dyDescent="0.3">
      <c r="A31" t="s">
        <v>62</v>
      </c>
      <c r="B31" t="s">
        <v>63</v>
      </c>
      <c r="C31" s="1">
        <v>46190</v>
      </c>
      <c r="D31" t="s">
        <v>27</v>
      </c>
      <c r="E31">
        <v>3</v>
      </c>
      <c r="F31">
        <v>683.64</v>
      </c>
      <c r="I31" t="s">
        <v>79</v>
      </c>
      <c r="J31">
        <f>COUNTIF(B4:B53,"CUST-0187")</f>
        <v>3</v>
      </c>
      <c r="K31">
        <f>SUMIF(B4:B53,"CUST-0187",F4:F53)</f>
        <v>1581.08</v>
      </c>
      <c r="L31" t="str">
        <f t="shared" si="2"/>
        <v>Medium</v>
      </c>
    </row>
    <row r="32" spans="1:12" x14ac:dyDescent="0.3">
      <c r="A32" t="s">
        <v>64</v>
      </c>
      <c r="B32" t="s">
        <v>58</v>
      </c>
      <c r="C32" s="1">
        <v>46082</v>
      </c>
      <c r="D32" t="s">
        <v>14</v>
      </c>
      <c r="E32">
        <v>5</v>
      </c>
      <c r="F32">
        <v>856.4</v>
      </c>
      <c r="I32" t="s">
        <v>81</v>
      </c>
      <c r="J32">
        <f>COUNTIF(B4:B53,"CUST-0089")</f>
        <v>1</v>
      </c>
      <c r="K32">
        <f>SUMIF(B4:B53,"CUST-0089",F4:F53)</f>
        <v>1022.25</v>
      </c>
      <c r="L32" t="str">
        <f t="shared" si="2"/>
        <v>Medium</v>
      </c>
    </row>
    <row r="33" spans="1:12" x14ac:dyDescent="0.3">
      <c r="A33" t="s">
        <v>65</v>
      </c>
      <c r="B33" t="s">
        <v>66</v>
      </c>
      <c r="C33" s="1">
        <v>46072</v>
      </c>
      <c r="D33" t="s">
        <v>5</v>
      </c>
      <c r="E33">
        <v>1</v>
      </c>
      <c r="F33">
        <v>275.85000000000002</v>
      </c>
      <c r="I33" t="s">
        <v>83</v>
      </c>
      <c r="J33">
        <f>COUNTIF(B4:B53,"CUST-0095")</f>
        <v>1</v>
      </c>
      <c r="K33">
        <f>SUMIF(B4:B53,"CUST-0095",F4:F53)</f>
        <v>238.59</v>
      </c>
      <c r="L33" t="str">
        <f t="shared" si="2"/>
        <v>Low</v>
      </c>
    </row>
    <row r="34" spans="1:12" x14ac:dyDescent="0.3">
      <c r="A34" t="s">
        <v>67</v>
      </c>
      <c r="B34" t="s">
        <v>58</v>
      </c>
      <c r="C34" s="1">
        <v>46228</v>
      </c>
      <c r="D34" t="s">
        <v>22</v>
      </c>
      <c r="E34">
        <v>5</v>
      </c>
      <c r="F34">
        <v>714.15</v>
      </c>
      <c r="I34" t="s">
        <v>86</v>
      </c>
      <c r="J34">
        <f>COUNTIF(B4:B53,"CUST-0012")</f>
        <v>1</v>
      </c>
      <c r="K34">
        <f>SUMIF(B4:B53,"CUST-0012",F4:F53)</f>
        <v>141.55000000000001</v>
      </c>
      <c r="L34" t="str">
        <f t="shared" si="2"/>
        <v>Low</v>
      </c>
    </row>
    <row r="35" spans="1:12" x14ac:dyDescent="0.3">
      <c r="A35" t="s">
        <v>68</v>
      </c>
      <c r="B35" t="s">
        <v>35</v>
      </c>
      <c r="C35" s="1">
        <v>46184</v>
      </c>
      <c r="D35" t="s">
        <v>19</v>
      </c>
      <c r="E35">
        <v>3</v>
      </c>
      <c r="F35">
        <v>781.77</v>
      </c>
      <c r="I35" t="s">
        <v>90</v>
      </c>
      <c r="J35">
        <f>COUNTIF(B4:B53,"CUST-0148")</f>
        <v>1</v>
      </c>
      <c r="K35">
        <f>SUMIF(B4:B53,"CUST-0148",F4:F53)</f>
        <v>75.08</v>
      </c>
      <c r="L35" t="str">
        <f t="shared" si="2"/>
        <v>Low</v>
      </c>
    </row>
    <row r="36" spans="1:12" x14ac:dyDescent="0.3">
      <c r="A36" t="s">
        <v>69</v>
      </c>
      <c r="B36" t="s">
        <v>70</v>
      </c>
      <c r="C36" s="1">
        <v>46086</v>
      </c>
      <c r="D36" t="s">
        <v>8</v>
      </c>
      <c r="E36">
        <v>4</v>
      </c>
      <c r="F36">
        <v>94.52</v>
      </c>
      <c r="I36" t="s">
        <v>92</v>
      </c>
      <c r="J36">
        <f>COUNTIF(B4:B53,"CUST-0106")</f>
        <v>1</v>
      </c>
      <c r="K36">
        <f>SUMIF(B4:B53,"CUST-0106",F4:F53)</f>
        <v>220.42</v>
      </c>
      <c r="L36" t="str">
        <f t="shared" si="2"/>
        <v>Low</v>
      </c>
    </row>
    <row r="37" spans="1:12" x14ac:dyDescent="0.3">
      <c r="A37" t="s">
        <v>71</v>
      </c>
      <c r="B37" t="s">
        <v>58</v>
      </c>
      <c r="C37" s="1">
        <v>46033</v>
      </c>
      <c r="D37" t="s">
        <v>27</v>
      </c>
      <c r="E37">
        <v>4</v>
      </c>
      <c r="F37">
        <v>634.48</v>
      </c>
      <c r="I37" t="s">
        <v>95</v>
      </c>
      <c r="J37">
        <f>COUNTIF(B4:B53,"CUST-0175")</f>
        <v>1</v>
      </c>
      <c r="K37">
        <f>SUMIF(B4:B53,"CUST-0175",F4:F53)</f>
        <v>1000.2</v>
      </c>
      <c r="L37" t="str">
        <f t="shared" si="2"/>
        <v>Medium</v>
      </c>
    </row>
    <row r="38" spans="1:12" x14ac:dyDescent="0.3">
      <c r="A38" t="s">
        <v>72</v>
      </c>
      <c r="B38" t="s">
        <v>58</v>
      </c>
      <c r="C38" s="1">
        <v>46062</v>
      </c>
      <c r="D38" t="s">
        <v>8</v>
      </c>
      <c r="E38">
        <v>3</v>
      </c>
      <c r="F38">
        <v>391.95</v>
      </c>
      <c r="I38" t="s">
        <v>97</v>
      </c>
      <c r="J38">
        <f>COUNTIF(B4:B53,"CUST-0075")</f>
        <v>1</v>
      </c>
      <c r="K38">
        <f>SUMIF(B4:B53,"CUST-0075",F4:F53)</f>
        <v>146.76</v>
      </c>
      <c r="L38" t="str">
        <f t="shared" si="2"/>
        <v>Low</v>
      </c>
    </row>
    <row r="39" spans="1:12" x14ac:dyDescent="0.3">
      <c r="A39" t="s">
        <v>73</v>
      </c>
      <c r="B39" t="s">
        <v>74</v>
      </c>
      <c r="C39" s="1">
        <v>46138</v>
      </c>
      <c r="D39" t="s">
        <v>22</v>
      </c>
      <c r="E39">
        <v>2</v>
      </c>
      <c r="F39">
        <v>616.44000000000005</v>
      </c>
    </row>
    <row r="40" spans="1:12" x14ac:dyDescent="0.3">
      <c r="A40" t="s">
        <v>75</v>
      </c>
      <c r="B40" t="s">
        <v>58</v>
      </c>
      <c r="C40" s="1">
        <v>46069</v>
      </c>
      <c r="D40" t="s">
        <v>25</v>
      </c>
      <c r="E40">
        <v>5</v>
      </c>
      <c r="F40">
        <v>956.65</v>
      </c>
    </row>
    <row r="41" spans="1:12" x14ac:dyDescent="0.3">
      <c r="A41" t="s">
        <v>76</v>
      </c>
      <c r="B41" t="s">
        <v>77</v>
      </c>
      <c r="C41" s="1">
        <v>46154</v>
      </c>
      <c r="D41" t="s">
        <v>25</v>
      </c>
      <c r="E41">
        <v>3</v>
      </c>
      <c r="F41">
        <v>573.84</v>
      </c>
    </row>
    <row r="42" spans="1:12" x14ac:dyDescent="0.3">
      <c r="A42" t="s">
        <v>78</v>
      </c>
      <c r="B42" t="s">
        <v>79</v>
      </c>
      <c r="C42" s="1">
        <v>46144</v>
      </c>
      <c r="D42" t="s">
        <v>22</v>
      </c>
      <c r="E42">
        <v>2</v>
      </c>
      <c r="F42">
        <v>314.58</v>
      </c>
    </row>
    <row r="43" spans="1:12" x14ac:dyDescent="0.3">
      <c r="A43" t="s">
        <v>80</v>
      </c>
      <c r="B43" t="s">
        <v>81</v>
      </c>
      <c r="C43" s="1">
        <v>46081</v>
      </c>
      <c r="D43" t="s">
        <v>27</v>
      </c>
      <c r="E43">
        <v>5</v>
      </c>
      <c r="F43">
        <v>1022.25</v>
      </c>
    </row>
    <row r="44" spans="1:12" x14ac:dyDescent="0.3">
      <c r="A44" t="s">
        <v>82</v>
      </c>
      <c r="B44" t="s">
        <v>83</v>
      </c>
      <c r="C44" s="1">
        <v>46031</v>
      </c>
      <c r="D44" t="s">
        <v>14</v>
      </c>
      <c r="E44">
        <v>3</v>
      </c>
      <c r="F44">
        <v>238.59</v>
      </c>
    </row>
    <row r="45" spans="1:12" x14ac:dyDescent="0.3">
      <c r="A45" t="s">
        <v>84</v>
      </c>
      <c r="B45" t="s">
        <v>79</v>
      </c>
      <c r="C45" s="1">
        <v>46101</v>
      </c>
      <c r="D45" t="s">
        <v>8</v>
      </c>
      <c r="E45">
        <v>5</v>
      </c>
      <c r="F45">
        <v>671</v>
      </c>
    </row>
    <row r="46" spans="1:12" x14ac:dyDescent="0.3">
      <c r="A46" t="s">
        <v>85</v>
      </c>
      <c r="B46" t="s">
        <v>86</v>
      </c>
      <c r="C46" s="1">
        <v>46064</v>
      </c>
      <c r="D46" t="s">
        <v>8</v>
      </c>
      <c r="E46">
        <v>1</v>
      </c>
      <c r="F46">
        <v>141.55000000000001</v>
      </c>
    </row>
    <row r="47" spans="1:12" x14ac:dyDescent="0.3">
      <c r="A47" t="s">
        <v>87</v>
      </c>
      <c r="B47" t="s">
        <v>79</v>
      </c>
      <c r="C47" s="1">
        <v>46150</v>
      </c>
      <c r="D47" t="s">
        <v>11</v>
      </c>
      <c r="E47">
        <v>3</v>
      </c>
      <c r="F47">
        <v>595.5</v>
      </c>
    </row>
    <row r="48" spans="1:12" x14ac:dyDescent="0.3">
      <c r="A48" t="s">
        <v>88</v>
      </c>
      <c r="B48" t="s">
        <v>63</v>
      </c>
      <c r="C48" s="1">
        <v>46103</v>
      </c>
      <c r="D48" t="s">
        <v>27</v>
      </c>
      <c r="E48">
        <v>2</v>
      </c>
      <c r="F48">
        <v>483.58</v>
      </c>
    </row>
    <row r="49" spans="1:6" x14ac:dyDescent="0.3">
      <c r="A49" t="s">
        <v>89</v>
      </c>
      <c r="B49" t="s">
        <v>90</v>
      </c>
      <c r="C49" s="1">
        <v>46103</v>
      </c>
      <c r="D49" t="s">
        <v>36</v>
      </c>
      <c r="E49">
        <v>2</v>
      </c>
      <c r="F49">
        <v>75.08</v>
      </c>
    </row>
    <row r="50" spans="1:6" x14ac:dyDescent="0.3">
      <c r="A50" t="s">
        <v>91</v>
      </c>
      <c r="B50" t="s">
        <v>92</v>
      </c>
      <c r="C50" s="1">
        <v>46173</v>
      </c>
      <c r="D50" t="s">
        <v>19</v>
      </c>
      <c r="E50">
        <v>1</v>
      </c>
      <c r="F50">
        <v>220.42</v>
      </c>
    </row>
    <row r="51" spans="1:6" x14ac:dyDescent="0.3">
      <c r="A51" t="s">
        <v>93</v>
      </c>
      <c r="B51" t="s">
        <v>45</v>
      </c>
      <c r="C51" s="1">
        <v>46192</v>
      </c>
      <c r="D51" t="s">
        <v>5</v>
      </c>
      <c r="E51">
        <v>2</v>
      </c>
      <c r="F51">
        <v>360.76</v>
      </c>
    </row>
    <row r="52" spans="1:6" x14ac:dyDescent="0.3">
      <c r="A52" t="s">
        <v>94</v>
      </c>
      <c r="B52" t="s">
        <v>95</v>
      </c>
      <c r="C52" s="1">
        <v>46161</v>
      </c>
      <c r="D52" t="s">
        <v>36</v>
      </c>
      <c r="E52">
        <v>1</v>
      </c>
      <c r="F52">
        <v>1000.2</v>
      </c>
    </row>
    <row r="53" spans="1:6" x14ac:dyDescent="0.3">
      <c r="A53" t="s">
        <v>96</v>
      </c>
      <c r="B53" t="s">
        <v>97</v>
      </c>
      <c r="C53" s="1">
        <v>46213</v>
      </c>
      <c r="D53" t="s">
        <v>27</v>
      </c>
      <c r="E53">
        <v>3</v>
      </c>
      <c r="F53">
        <v>146.76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2026-09-24T13:20:48Z</dcterms:modified>
</cp:coreProperties>
</file>